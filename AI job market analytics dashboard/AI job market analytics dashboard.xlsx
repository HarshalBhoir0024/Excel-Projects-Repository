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4.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7.xml" ContentType="application/vnd.openxmlformats-officedocument.spreadsheetml.pivotTable+xml"/>
  <Override PartName="/xl/drawings/drawing6.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8.xml" ContentType="application/vnd.openxmlformats-officedocument.spreadsheetml.pivotTable+xml"/>
  <Override PartName="/xl/drawings/drawing7.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https://d.docs.live.net/440d9e26f7100b98/Desktop/Data Science/Excel/Excel Project/AI job market analytics dashboard/"/>
    </mc:Choice>
  </mc:AlternateContent>
  <xr:revisionPtr revIDLastSave="71" documentId="8_{4A4A28EC-19F3-4EC9-A301-36EB45A3E4F1}" xr6:coauthVersionLast="47" xr6:coauthVersionMax="47" xr10:uidLastSave="{F501C0A5-F013-406A-A4CA-C52B202F444D}"/>
  <bookViews>
    <workbookView xWindow="-108" yWindow="-108" windowWidth="23256" windowHeight="12456" xr2:uid="{CD2DE0CE-3C0B-4A1F-A6E6-6EB52DB66AD0}"/>
  </bookViews>
  <sheets>
    <sheet name="Dashboard" sheetId="9" r:id="rId1"/>
    <sheet name="KPI" sheetId="15" r:id="rId2"/>
    <sheet name="Dataset" sheetId="1" r:id="rId3"/>
    <sheet name="Monthly AI job Postings" sheetId="3" r:id="rId4"/>
    <sheet name="Job Share By employment type" sheetId="4" r:id="rId5"/>
    <sheet name="Avg salary by Role" sheetId="5" r:id="rId6"/>
    <sheet name="Top hiring sectors" sheetId="6" r:id="rId7"/>
    <sheet name="Sheet1" sheetId="10" r:id="rId8"/>
  </sheets>
  <definedNames>
    <definedName name="_xlnm._FilterDatabase" localSheetId="2" hidden="1">Dataset!$A$1:$P$201</definedName>
    <definedName name="_xlcn.WorksheetConnection_Sheet1A1P2011" hidden="1">Dataset!$A$1:$P$201</definedName>
    <definedName name="Slicer_Company">#N/A</definedName>
    <definedName name="Slicer_Job_Title">#N/A</definedName>
    <definedName name="Slicer_Sector">#N/A</definedName>
  </definedNames>
  <calcPr calcId="191029"/>
  <pivotCaches>
    <pivotCache cacheId="0" r:id="rId9"/>
    <pivotCache cacheId="98" r:id="rId10"/>
    <pivotCache cacheId="101" r:id="rId11"/>
    <pivotCache cacheId="104" r:id="rId12"/>
  </pivotCaches>
  <extLst>
    <ext xmlns:x14="http://schemas.microsoft.com/office/spreadsheetml/2009/9/main" uri="{876F7934-8845-4945-9796-88D515C7AA90}">
      <x14:pivotCaches>
        <pivotCache cacheId="4" r:id="rId13"/>
      </x14:pivotCaches>
    </ext>
    <ext xmlns:x14="http://schemas.microsoft.com/office/spreadsheetml/2009/9/main" uri="{BBE1A952-AA13-448e-AADC-164F8A28A991}">
      <x14:slicerCaches>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Sheet1!$A$1:$P$20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49" i="15" l="1"/>
  <c r="F32" i="15"/>
  <c r="F11" i="1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4FA3C97-6FC6-4790-A0B9-8018EF9D18DD}"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5E052CD6-4229-4A3E-9384-767B6D516043}" name="WorksheetConnection_Sheet1!$A$1:$P$201" type="102" refreshedVersion="7" minRefreshableVersion="5">
    <extLst>
      <ext xmlns:x15="http://schemas.microsoft.com/office/spreadsheetml/2010/11/main" uri="{DE250136-89BD-433C-8126-D09CA5730AF9}">
        <x15:connection id="Range" autoDelete="1">
          <x15:rangePr sourceName="_xlcn.WorksheetConnection_Sheet1A1P2011"/>
        </x15:connection>
      </ext>
    </extLst>
  </connection>
</connections>
</file>

<file path=xl/sharedStrings.xml><?xml version="1.0" encoding="utf-8"?>
<sst xmlns="http://schemas.openxmlformats.org/spreadsheetml/2006/main" count="1988" uniqueCount="311">
  <si>
    <t>Job ID</t>
  </si>
  <si>
    <t>Job Title</t>
  </si>
  <si>
    <t>Company</t>
  </si>
  <si>
    <t>Sector</t>
  </si>
  <si>
    <t>Experience Level</t>
  </si>
  <si>
    <t>Employment Type</t>
  </si>
  <si>
    <t>Salary (USD)</t>
  </si>
  <si>
    <t>Location</t>
  </si>
  <si>
    <t>Years of Experience</t>
  </si>
  <si>
    <t>Work Mode</t>
  </si>
  <si>
    <t>Company Rating</t>
  </si>
  <si>
    <t>Required Skills</t>
  </si>
  <si>
    <t>Date Posted</t>
  </si>
  <si>
    <t>Days Open</t>
  </si>
  <si>
    <t>Education Required</t>
  </si>
  <si>
    <t>YoY Growth (%)</t>
  </si>
  <si>
    <t>LLM Fine-tune Specialist</t>
  </si>
  <si>
    <t>Meta AI</t>
  </si>
  <si>
    <t>Technology</t>
  </si>
  <si>
    <t>Senior</t>
  </si>
  <si>
    <t>Full-time</t>
  </si>
  <si>
    <t>Austin, TX</t>
  </si>
  <si>
    <t>Hybrid</t>
  </si>
  <si>
    <t>Python, Scala, LLMs / Prompt Engineering, TensorFlow</t>
  </si>
  <si>
    <t>Self-taught</t>
  </si>
  <si>
    <t>AI Research Scientist</t>
  </si>
  <si>
    <t>Cruise</t>
  </si>
  <si>
    <t>Energy</t>
  </si>
  <si>
    <t>Mid-level</t>
  </si>
  <si>
    <t>San Francisco, CA</t>
  </si>
  <si>
    <t>Remote</t>
  </si>
  <si>
    <t>PyTorch, TensorFlow, Docker, RAG / Vector DBs</t>
  </si>
  <si>
    <t>Bootcamp</t>
  </si>
  <si>
    <t>Robotics AI Engineer</t>
  </si>
  <si>
    <t>Scale AI</t>
  </si>
  <si>
    <t>Retail</t>
  </si>
  <si>
    <t>Junior</t>
  </si>
  <si>
    <t>Contract</t>
  </si>
  <si>
    <t>Computer Vision, Spark, RAG / Vector DBs, Scala, TensorFlow</t>
  </si>
  <si>
    <t>Bachelor's</t>
  </si>
  <si>
    <t>Deep Learning Engineer</t>
  </si>
  <si>
    <t>Stability AI</t>
  </si>
  <si>
    <t>Finance</t>
  </si>
  <si>
    <t>Part-time</t>
  </si>
  <si>
    <t>Atlanta, GA</t>
  </si>
  <si>
    <t>TensorFlow, Reinforcement Learning, MLOps, Kubernetes</t>
  </si>
  <si>
    <t>Data Scientist</t>
  </si>
  <si>
    <t>Oracle</t>
  </si>
  <si>
    <t>Automotive</t>
  </si>
  <si>
    <t>Denver, CO</t>
  </si>
  <si>
    <t>Spark, Python, Docker</t>
  </si>
  <si>
    <t>PhD</t>
  </si>
  <si>
    <t>AI Ethics Researcher</t>
  </si>
  <si>
    <t>SAP</t>
  </si>
  <si>
    <t>Defence</t>
  </si>
  <si>
    <t>Berlin, Germany</t>
  </si>
  <si>
    <t>MLOps, Kubernetes, Computer Vision, Cloud (AWS/GCP/Azure), Docker</t>
  </si>
  <si>
    <t>Master's</t>
  </si>
  <si>
    <t>Salesforce</t>
  </si>
  <si>
    <t>Media</t>
  </si>
  <si>
    <t>Boston, MA</t>
  </si>
  <si>
    <t>On-site</t>
  </si>
  <si>
    <t>Cloud (AWS/GCP/Azure), Scala, Computer Vision</t>
  </si>
  <si>
    <t>OpenAI</t>
  </si>
  <si>
    <t>Principal</t>
  </si>
  <si>
    <t>Scala, Kubernetes, MLOps, Transformers / Hugging Face, PyTorch</t>
  </si>
  <si>
    <t>NLP Engineer</t>
  </si>
  <si>
    <t>H2O.ai</t>
  </si>
  <si>
    <t>Scala, Spark, Docker, MLOps</t>
  </si>
  <si>
    <t>ML Engineer</t>
  </si>
  <si>
    <t>Microsoft</t>
  </si>
  <si>
    <t>Freelance</t>
  </si>
  <si>
    <t>Transformers / Hugging Face, Spark, Computer Vision, Cloud (AWS/GCP/Azure)</t>
  </si>
  <si>
    <t>AI/ML Architect</t>
  </si>
  <si>
    <t>Nvidia</t>
  </si>
  <si>
    <t>Lead</t>
  </si>
  <si>
    <t>LLMs / Prompt Engineering, RAG / Vector DBs, Python</t>
  </si>
  <si>
    <t>AI Engineer</t>
  </si>
  <si>
    <t>Transformers / Hugging Face, PyTorch, Kubernetes</t>
  </si>
  <si>
    <t>AI Product Manager</t>
  </si>
  <si>
    <t>DataRobot</t>
  </si>
  <si>
    <t>Reinforcement Learning, Scala, LLMs / Prompt Engineering, Python, Cloud (AWS/GCP/Azure)</t>
  </si>
  <si>
    <t>LLMs / Prompt Engineering, Python, Reinforcement Learning, Transformers / Hugging Face, Spark</t>
  </si>
  <si>
    <t>IBM</t>
  </si>
  <si>
    <t>London, UK</t>
  </si>
  <si>
    <t>MLOps, Cloud (AWS/GCP/Azure), Kubernetes, Docker</t>
  </si>
  <si>
    <t>PyTorch, Python, Transformers / Hugging Face, LLMs / Prompt Engineering, Scala</t>
  </si>
  <si>
    <t>Cohere</t>
  </si>
  <si>
    <t>New York, NY</t>
  </si>
  <si>
    <t>RAG / Vector DBs, MLOps, TensorFlow, Reinforcement Learning, Scala</t>
  </si>
  <si>
    <t>Transformers / Hugging Face, TensorFlow, Scala</t>
  </si>
  <si>
    <t>Anthropic</t>
  </si>
  <si>
    <t>Reinforcement Learning, Spark, Transformers / Hugging Face</t>
  </si>
  <si>
    <t>Hugging Face</t>
  </si>
  <si>
    <t>Reinforcement Learning, Spark, MLOps, Transformers / Hugging Face, SQL</t>
  </si>
  <si>
    <t>MLOps Engineer</t>
  </si>
  <si>
    <t>Python, LLMs / Prompt Engineering, Spark, Kubernetes, PyTorch</t>
  </si>
  <si>
    <t>Mistral AI</t>
  </si>
  <si>
    <t>Healthcare</t>
  </si>
  <si>
    <t>Scala, Spark, Cloud (AWS/GCP/Azure), Computer Vision, PyTorch</t>
  </si>
  <si>
    <t>Apple</t>
  </si>
  <si>
    <t>Toronto, Canada</t>
  </si>
  <si>
    <t>PyTorch, Docker, Kubernetes, LLMs / Prompt Engineering</t>
  </si>
  <si>
    <t>Spark, LLMs / Prompt Engineering, Docker, MLOps</t>
  </si>
  <si>
    <t>Los Angeles, CA</t>
  </si>
  <si>
    <t>Cloud (AWS/GCP/Azure), RAG / Vector DBs, Kubernetes, Spark, Scala</t>
  </si>
  <si>
    <t>Prompt Engineer</t>
  </si>
  <si>
    <t>Chicago, IL</t>
  </si>
  <si>
    <t>Computer Vision, RAG / Vector DBs, Reinforcement Learning, LLMs / Prompt Engineering</t>
  </si>
  <si>
    <t>Computer Vision Engineer</t>
  </si>
  <si>
    <t>Cloud (AWS/GCP/Azure), Transformers / Hugging Face, Python, MLOps</t>
  </si>
  <si>
    <t>Tesla</t>
  </si>
  <si>
    <t>PyTorch, Reinforcement Learning, LLMs / Prompt Engineering, MLOps, Transformers / Hugging Face</t>
  </si>
  <si>
    <t>C3.ai</t>
  </si>
  <si>
    <t>SQL, Cloud (AWS/GCP/Azure), Reinforcement Learning</t>
  </si>
  <si>
    <t>Amazon</t>
  </si>
  <si>
    <t>TensorFlow, Spark, LLMs / Prompt Engineering, SQL, PyTorch</t>
  </si>
  <si>
    <t>Databricks</t>
  </si>
  <si>
    <t>Spark, SQL, Scala, MLOps, TensorFlow</t>
  </si>
  <si>
    <t>TensorFlow, Cloud (AWS/GCP/Azure), Kubernetes</t>
  </si>
  <si>
    <t>Cloud (AWS/GCP/Azure), SQL, Python, RAG / Vector DBs, MLOps</t>
  </si>
  <si>
    <t>Singapore</t>
  </si>
  <si>
    <t>Kubernetes, PyTorch, SQL, Spark</t>
  </si>
  <si>
    <t>RAG / Vector DBs, Scala, Docker, Cloud (AWS/GCP/Azure)</t>
  </si>
  <si>
    <t>TensorFlow, Scala, Python</t>
  </si>
  <si>
    <t>MLOps, LLMs / Prompt Engineering, Computer Vision</t>
  </si>
  <si>
    <t>Docker, LLMs / Prompt Engineering, Scala, Computer Vision, Python</t>
  </si>
  <si>
    <t>Kubernetes, PyTorch, Cloud (AWS/GCP/Azure), Spark</t>
  </si>
  <si>
    <t>Scala, SQL, TensorFlow, Spark</t>
  </si>
  <si>
    <t>Weights &amp; Biases</t>
  </si>
  <si>
    <t>Transformers / Hugging Face, Python, Scala, TensorFlow</t>
  </si>
  <si>
    <t>Seattle, WA</t>
  </si>
  <si>
    <t>Computer Vision, RAG / Vector DBs, SQL, Transformers / Hugging Face, Kubernetes</t>
  </si>
  <si>
    <t>Inflection AI</t>
  </si>
  <si>
    <t>PyTorch, TensorFlow, Spark, Kubernetes, SQL</t>
  </si>
  <si>
    <t>AI Analyst</t>
  </si>
  <si>
    <t>Adobe</t>
  </si>
  <si>
    <t>MLOps, Python, Spark</t>
  </si>
  <si>
    <t>LLMs / Prompt Engineering, Spark, Scala, Cloud (AWS/GCP/Azure)</t>
  </si>
  <si>
    <t>TensorFlow, Docker, Transformers / Hugging Face, Cloud (AWS/GCP/Azure), SQL</t>
  </si>
  <si>
    <t>PyTorch, Transformers / Hugging Face, LLMs / Prompt Engineering</t>
  </si>
  <si>
    <t>Computer Vision, Reinforcement Learning, Docker, TensorFlow, Cloud (AWS/GCP/Azure)</t>
  </si>
  <si>
    <t>MLOps, Transformers / Hugging Face, Spark, SQL</t>
  </si>
  <si>
    <t>Palantir</t>
  </si>
  <si>
    <t>Docker, Reinforcement Learning, MLOps</t>
  </si>
  <si>
    <t>Reinforcement Learning, LLMs / Prompt Engineering, PyTorch, RAG / Vector DBs</t>
  </si>
  <si>
    <t>SQL, LLMs / Prompt Engineering, Python, Reinforcement Learning, Computer Vision</t>
  </si>
  <si>
    <t>MLOps, Transformers / Hugging Face, Kubernetes, Scala, Cloud (AWS/GCP/Azure)</t>
  </si>
  <si>
    <t>MLOps, Spark, Python, Scala, Kubernetes</t>
  </si>
  <si>
    <t>TensorFlow, Computer Vision, Cloud (AWS/GCP/Azure), Scala, Docker</t>
  </si>
  <si>
    <t>LLMs / Prompt Engineering, Transformers / Hugging Face, SQL, Python</t>
  </si>
  <si>
    <t>RAG / Vector DBs, Reinforcement Learning, Kubernetes, SQL</t>
  </si>
  <si>
    <t>Waymo</t>
  </si>
  <si>
    <t>Kubernetes, MLOps, Python</t>
  </si>
  <si>
    <t>Reinforcement Learning, TensorFlow, SQL, Computer Vision, PyTorch</t>
  </si>
  <si>
    <t>Cloud (AWS/GCP/Azure), Kubernetes, MLOps, SQL, Docker</t>
  </si>
  <si>
    <t>Spark, Reinforcement Learning, Docker, Kubernetes, Python</t>
  </si>
  <si>
    <t>Reinforcement Learning, Spark, PyTorch, Scala, LLMs / Prompt Engineering</t>
  </si>
  <si>
    <t>Google DeepMind</t>
  </si>
  <si>
    <t>Scala, RAG / Vector DBs, Transformers / Hugging Face, Docker, MLOps</t>
  </si>
  <si>
    <t>Cloud (AWS/GCP/Azure), Spark, Docker, Transformers / Hugging Face, RAG / Vector DBs</t>
  </si>
  <si>
    <t>SQL, Python, Computer Vision</t>
  </si>
  <si>
    <t>LLMs / Prompt Engineering, TensorFlow, Transformers / Hugging Face</t>
  </si>
  <si>
    <t>Python, Kubernetes, RAG / Vector DBs, TensorFlow</t>
  </si>
  <si>
    <t>LLMs / Prompt Engineering, Reinforcement Learning, TensorFlow, Spark</t>
  </si>
  <si>
    <t>Docker, Computer Vision, Python</t>
  </si>
  <si>
    <t>Python, PyTorch, MLOps, Scala</t>
  </si>
  <si>
    <t>Docker, Spark, Reinforcement Learning, Transformers / Hugging Face, MLOps</t>
  </si>
  <si>
    <t>PyTorch, MLOps, Computer Vision</t>
  </si>
  <si>
    <t>Kubernetes, Spark, TensorFlow, Cloud (AWS/GCP/Azure), SQL</t>
  </si>
  <si>
    <t>LLMs / Prompt Engineering, Spark, Scala</t>
  </si>
  <si>
    <t>Spark, Kubernetes, Python, MLOps</t>
  </si>
  <si>
    <t>TensorFlow, Docker, Cloud (AWS/GCP/Azure), Transformers / Hugging Face, Computer Vision</t>
  </si>
  <si>
    <t>Cloud (AWS/GCP/Azure), LLMs / Prompt Engineering, PyTorch, Kubernetes, Reinforcement Learning</t>
  </si>
  <si>
    <t>Reinforcement Learning, LLMs / Prompt Engineering, MLOps</t>
  </si>
  <si>
    <t>Transformers / Hugging Face, Reinforcement Learning, MLOps, Python</t>
  </si>
  <si>
    <t>Cloud (AWS/GCP/Azure), Transformers / Hugging Face, Kubernetes</t>
  </si>
  <si>
    <t>Cloud (AWS/GCP/Azure), Computer Vision, Scala, Kubernetes, Reinforcement Learning</t>
  </si>
  <si>
    <t>Kubernetes, RAG / Vector DBs, TensorFlow, Spark</t>
  </si>
  <si>
    <t>Docker, Scala, Reinforcement Learning</t>
  </si>
  <si>
    <t>SQL, Scala, Reinforcement Learning</t>
  </si>
  <si>
    <t>Computer Vision, Scala, Transformers / Hugging Face</t>
  </si>
  <si>
    <t>SQL, LLMs / Prompt Engineering, Docker</t>
  </si>
  <si>
    <t>Reinforcement Learning, Computer Vision, Python, Scala</t>
  </si>
  <si>
    <t>MLOps, Reinforcement Learning, Kubernetes, Spark</t>
  </si>
  <si>
    <t>MLOps, PyTorch, TensorFlow, RAG / Vector DBs</t>
  </si>
  <si>
    <t>Cloud (AWS/GCP/Azure), PyTorch, Spark, Docker, Computer Vision</t>
  </si>
  <si>
    <t>Scala, Spark, TensorFlow, RAG / Vector DBs</t>
  </si>
  <si>
    <t>Python, Reinforcement Learning, SQL, RAG / Vector DBs</t>
  </si>
  <si>
    <t>Scala, TensorFlow, SQL</t>
  </si>
  <si>
    <t>Reinforcement Learning, RAG / Vector DBs, Docker, PyTorch, Kubernetes</t>
  </si>
  <si>
    <t>Computer Vision, Transformers / Hugging Face, Cloud (AWS/GCP/Azure), LLMs / Prompt Engineering, MLOps</t>
  </si>
  <si>
    <t>Cloud (AWS/GCP/Azure), Python, Computer Vision, RAG / Vector DBs</t>
  </si>
  <si>
    <t>MLOps, Kubernetes, Python, RAG / Vector DBs</t>
  </si>
  <si>
    <t>Kubernetes, SQL, Reinforcement Learning, PyTorch</t>
  </si>
  <si>
    <t>TensorFlow, MLOps, RAG / Vector DBs, Python, Reinforcement Learning</t>
  </si>
  <si>
    <t>Pinecone</t>
  </si>
  <si>
    <t>MLOps, Docker, LLMs / Prompt Engineering, Kubernetes, Cloud (AWS/GCP/Azure)</t>
  </si>
  <si>
    <t>SQL, RAG / Vector DBs, Scala, Python, Spark</t>
  </si>
  <si>
    <t>Python, PyTorch, LLMs / Prompt Engineering, TensorFlow</t>
  </si>
  <si>
    <t>RAG / Vector DBs, Reinforcement Learning, MLOps, TensorFlow</t>
  </si>
  <si>
    <t>Weaviate</t>
  </si>
  <si>
    <t>TensorFlow, LLMs / Prompt Engineering, PyTorch, Spark</t>
  </si>
  <si>
    <t>Reinforcement Learning, PyTorch, Docker, RAG / Vector DBs, Transformers / Hugging Face</t>
  </si>
  <si>
    <t>LLMs / Prompt Engineering, MLOps, Cloud (AWS/GCP/Azure)</t>
  </si>
  <si>
    <t>Reinforcement Learning, Computer Vision, PyTorch, Docker, Cloud (AWS/GCP/Azure)</t>
  </si>
  <si>
    <t>MLOps, TensorFlow, Reinforcement Learning</t>
  </si>
  <si>
    <t>Spark, Computer Vision, Python, Docker</t>
  </si>
  <si>
    <t>Cloud (AWS/GCP/Azure), MLOps, SQL, LLMs / Prompt Engineering, Python</t>
  </si>
  <si>
    <t>LLMs / Prompt Engineering, RAG / Vector DBs, TensorFlow, SQL, Scala</t>
  </si>
  <si>
    <t>SQL, Transformers / Hugging Face, Scala</t>
  </si>
  <si>
    <t>Reinforcement Learning, SQL, MLOps, Transformers / Hugging Face, Python</t>
  </si>
  <si>
    <t>Docker, Transformers / Hugging Face, MLOps, Computer Vision</t>
  </si>
  <si>
    <t>Python, PyTorch, Kubernetes</t>
  </si>
  <si>
    <t>RAG / Vector DBs, Transformers / Hugging Face, Spark, Docker, SQL</t>
  </si>
  <si>
    <t>Computer Vision, SQL, MLOps</t>
  </si>
  <si>
    <t>LLMs / Prompt Engineering, TensorFlow, Python, SQL, RAG / Vector DBs</t>
  </si>
  <si>
    <t>RAG / Vector DBs, PyTorch, SQL, Transformers / Hugging Face</t>
  </si>
  <si>
    <t>Docker, MLOps, Kubernetes, TensorFlow</t>
  </si>
  <si>
    <t>MLOps, Python, Scala</t>
  </si>
  <si>
    <t>Python, Reinforcement Learning, Transformers / Hugging Face</t>
  </si>
  <si>
    <t>Scala, SQL, Spark, Reinforcement Learning, TensorFlow</t>
  </si>
  <si>
    <t>Spark, Cloud (AWS/GCP/Azure), Docker</t>
  </si>
  <si>
    <t>TensorFlow, Docker, LLMs / Prompt Engineering, RAG / Vector DBs</t>
  </si>
  <si>
    <t>Transformers / Hugging Face, RAG / Vector DBs, LLMs / Prompt Engineering, Cloud (AWS/GCP/Azure)</t>
  </si>
  <si>
    <t>Computer Vision, Python, MLOps, Reinforcement Learning, RAG / Vector DBs</t>
  </si>
  <si>
    <t>TensorFlow, PyTorch, SQL</t>
  </si>
  <si>
    <t>SQL, Transformers / Hugging Face, Kubernetes, RAG / Vector DBs, LLMs / Prompt Engineering</t>
  </si>
  <si>
    <t>Computer Vision, SQL, LLMs / Prompt Engineering, Transformers / Hugging Face, Spark</t>
  </si>
  <si>
    <t>LLMs / Prompt Engineering, Python, Cloud (AWS/GCP/Azure), RAG / Vector DBs, Scala</t>
  </si>
  <si>
    <t>Cloud (AWS/GCP/Azure), LLMs / Prompt Engineering, Reinforcement Learning, Docker</t>
  </si>
  <si>
    <t>Spark, TensorFlow, Scala, SQL</t>
  </si>
  <si>
    <t>Computer Vision, Reinforcement Learning, Kubernetes, Python</t>
  </si>
  <si>
    <t>Docker, Reinforcement Learning, RAG / Vector DBs, TensorFlow, MLOps</t>
  </si>
  <si>
    <t>Reinforcement Learning, Scala, Cloud (AWS/GCP/Azure), Transformers / Hugging Face</t>
  </si>
  <si>
    <t>Transformers / Hugging Face, Cloud (AWS/GCP/Azure), Spark</t>
  </si>
  <si>
    <t>Reinforcement Learning, Computer Vision, Spark, Python</t>
  </si>
  <si>
    <t>LLMs / Prompt Engineering, Kubernetes, Docker, SQL, TensorFlow</t>
  </si>
  <si>
    <t>LLMs / Prompt Engineering, Docker, Kubernetes, SQL</t>
  </si>
  <si>
    <t>Spark, TensorFlow, SQL, Transformers / Hugging Face, Reinforcement Learning</t>
  </si>
  <si>
    <t>Reinforcement Learning, Python, Transformers / Hugging Face, Spark, LLMs / Prompt Engineering</t>
  </si>
  <si>
    <t>Scala, Computer Vision, SQL, Reinforcement Learning, Docker</t>
  </si>
  <si>
    <t>Transformers / Hugging Face, PyTorch, TensorFlow</t>
  </si>
  <si>
    <t>Spark, Scala, LLMs / Prompt Engineering, Reinforcement Learning, Kubernetes</t>
  </si>
  <si>
    <t>Scala, Transformers / Hugging Face, Python</t>
  </si>
  <si>
    <t>Computer Vision, PyTorch, Docker</t>
  </si>
  <si>
    <t>Kubernetes, LLMs / Prompt Engineering, Transformers / Hugging Face, Scala, RAG / Vector DBs</t>
  </si>
  <si>
    <t>PyTorch, Reinforcement Learning, Computer Vision, Spark</t>
  </si>
  <si>
    <t>MLOps, SQL, RAG / Vector DBs</t>
  </si>
  <si>
    <t>MLOps, Cloud (AWS/GCP/Azure), Spark</t>
  </si>
  <si>
    <t>Cloud (AWS/GCP/Azure), MLOps, SQL, LLMs / Prompt Engineering</t>
  </si>
  <si>
    <t>SQL, RAG / Vector DBs, Cloud (AWS/GCP/Azure), Reinforcement Learning</t>
  </si>
  <si>
    <t>Docker, TensorFlow, RAG / Vector DBs, Cloud (AWS/GCP/Azure), MLOps</t>
  </si>
  <si>
    <t>LLMs / Prompt Engineering, Spark, Docker, Cloud (AWS/GCP/Azure), Reinforcement Learning</t>
  </si>
  <si>
    <t>Cloud (AWS/GCP/Azure), Transformers / Hugging Face, Python, RAG / Vector DBs, Spark</t>
  </si>
  <si>
    <t>Python, LLMs / Prompt Engineering, MLOps</t>
  </si>
  <si>
    <t>Scala, LLMs / Prompt Engineering, Spark, Kubernetes</t>
  </si>
  <si>
    <t>Python, Spark, RAG / Vector DBs</t>
  </si>
  <si>
    <t>PyTorch, Reinforcement Learning, Spark</t>
  </si>
  <si>
    <t>Computer Vision, LLMs / Prompt Engineering, Docker</t>
  </si>
  <si>
    <t>Computer Vision, PyTorch, Reinforcement Learning, Kubernetes</t>
  </si>
  <si>
    <t>PyTorch, Computer Vision, Cloud (AWS/GCP/Azure), Docker, Scala</t>
  </si>
  <si>
    <t>Python, SQL, PyTorch, TensorFlow</t>
  </si>
  <si>
    <t>Spark, Docker, Python, Kubernetes, SQL</t>
  </si>
  <si>
    <t>Docker, Scala, TensorFlow</t>
  </si>
  <si>
    <t>Transformers / Hugging Face, PyTorch, RAG / Vector DBs, Kubernetes, MLOps</t>
  </si>
  <si>
    <t>TensorFlow, PyTorch, Kubernetes</t>
  </si>
  <si>
    <t>Spark, TensorFlow, SQL, MLOps</t>
  </si>
  <si>
    <t>Scala, Spark, PyTorch</t>
  </si>
  <si>
    <t>PyTorch, Python, Cloud (AWS/GCP/Azure), Reinforcement Learning, MLOps</t>
  </si>
  <si>
    <t>Kubernetes, RAG / Vector DBs, LLMs / Prompt Engineering</t>
  </si>
  <si>
    <t>Reinforcement Learning, Scala, PyTorch</t>
  </si>
  <si>
    <t>LLMs / Prompt Engineering, Scala, PyTorch</t>
  </si>
  <si>
    <t>Python, Spark, Reinforcement Learning, MLOps, TensorFlow</t>
  </si>
  <si>
    <t>RAG / Vector DBs, Scala, PyTorch</t>
  </si>
  <si>
    <t>Docker, Cloud (AWS/GCP/Azure), Transformers / Hugging Face</t>
  </si>
  <si>
    <t>Docker, PyTorch, Transformers / Hugging Face</t>
  </si>
  <si>
    <t>Computer Vision, Python, MLOps, Reinforcement Learning, Kubernetes</t>
  </si>
  <si>
    <t>Kubernetes, LLMs / Prompt Engineering, Docker, Python</t>
  </si>
  <si>
    <t>Docker, LLMs / Prompt Engineering, Computer Vision, Reinforcement Learning</t>
  </si>
  <si>
    <t>Transformers / Hugging Face, Docker, Kubernetes</t>
  </si>
  <si>
    <t>Docker, Transformers / Hugging Face, Python</t>
  </si>
  <si>
    <t>Computer Vision, TensorFlow, SQL, RAG / Vector DBs, Scala</t>
  </si>
  <si>
    <t>RAG / Vector DBs, Python, Docker</t>
  </si>
  <si>
    <t>Cloud (AWS/GCP/Azure), Kubernetes, RAG / Vector DBs, SQL, LLMs / Prompt Engineering</t>
  </si>
  <si>
    <t>Kubernetes, Spark, Scala, RAG / Vector DBs</t>
  </si>
  <si>
    <t>SQL, MLOps, Scala</t>
  </si>
  <si>
    <t>Python, Reinforcement Learning, MLOps, Docker, PyTorch</t>
  </si>
  <si>
    <t>TensorFlow, Spark, Cloud (AWS/GCP/Azure)</t>
  </si>
  <si>
    <t>LLMs / Prompt Engineering, Python, SQL, Spark</t>
  </si>
  <si>
    <t>Scala, PyTorch, Python, Computer Vision</t>
  </si>
  <si>
    <t>Reinforcement Learning, Docker, Transformers / Hugging Face</t>
  </si>
  <si>
    <t>Python, Docker, SQL, Transformers / Hugging Face</t>
  </si>
  <si>
    <t>RAG / Vector DBs, Spark, PyTorch, Docker</t>
  </si>
  <si>
    <t>Transformers / Hugging Face, MLOps, PyTorch, SQL</t>
  </si>
  <si>
    <t>Python, Scala, PyTorch, Computer Vision</t>
  </si>
  <si>
    <t>Sum of Date Posted</t>
  </si>
  <si>
    <t>Row Labels</t>
  </si>
  <si>
    <t>Grand Total</t>
  </si>
  <si>
    <t>Count of Employment Type</t>
  </si>
  <si>
    <t>Average of Salary (USD)</t>
  </si>
  <si>
    <t>Count of Sector</t>
  </si>
  <si>
    <t>Count of Experience Level</t>
  </si>
  <si>
    <t>Sum of Salary (USD)</t>
  </si>
  <si>
    <t>Avg salary</t>
  </si>
  <si>
    <t>Avg salary wise jobs</t>
  </si>
  <si>
    <t>Count of Company</t>
  </si>
  <si>
    <t>Sum of Company Rating</t>
  </si>
  <si>
    <t>Top Hiring Sector</t>
  </si>
  <si>
    <t xml:space="preserve">✅ Top company </t>
  </si>
  <si>
    <t>📈 Top Hiring Sector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</si>
</sst>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b/>
      <sz val="11"/>
      <color theme="1"/>
      <name val="Calibri"/>
      <family val="2"/>
      <scheme val="minor"/>
    </font>
    <font>
      <b/>
      <sz val="11"/>
      <color rgb="FF000000"/>
      <name val="+mn-ea"/>
    </font>
    <font>
      <b/>
      <sz val="8"/>
      <color theme="1"/>
      <name val="Times New Roman"/>
      <family val="1"/>
    </font>
  </fonts>
  <fills count="3">
    <fill>
      <patternFill patternType="none"/>
    </fill>
    <fill>
      <patternFill patternType="gray125"/>
    </fill>
    <fill>
      <patternFill patternType="solid">
        <fgColor theme="9" tint="0.59999389629810485"/>
        <bgColor indexed="64"/>
      </patternFill>
    </fill>
  </fills>
  <borders count="1">
    <border>
      <left/>
      <right/>
      <top/>
      <bottom/>
      <diagonal/>
    </border>
  </borders>
  <cellStyleXfs count="1">
    <xf numFmtId="0" fontId="0" fillId="0" borderId="0"/>
  </cellStyleXfs>
  <cellXfs count="9">
    <xf numFmtId="0" fontId="0" fillId="0" borderId="0" xfId="0"/>
    <xf numFmtId="0" fontId="0" fillId="2" borderId="0" xfId="0" applyFill="1"/>
    <xf numFmtId="0" fontId="0" fillId="0" borderId="0" xfId="0" applyNumberFormat="1"/>
    <xf numFmtId="0" fontId="0" fillId="0" borderId="0" xfId="0" pivotButton="1"/>
    <xf numFmtId="0" fontId="0" fillId="0" borderId="0" xfId="0" applyAlignment="1">
      <alignment horizontal="left"/>
    </xf>
    <xf numFmtId="0" fontId="2" fillId="0" borderId="0" xfId="0" applyFont="1"/>
    <xf numFmtId="0" fontId="1" fillId="0" borderId="0" xfId="0" applyFont="1"/>
    <xf numFmtId="0" fontId="3" fillId="0" borderId="0" xfId="0" applyFont="1" applyAlignment="1">
      <alignment vertical="center" wrapText="1"/>
    </xf>
    <xf numFmtId="0" fontId="2"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5.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powerPivotData" Target="model/item.data"/><Relationship Id="rId7" Type="http://schemas.openxmlformats.org/officeDocument/2006/relationships/worksheet" Target="worksheets/sheet7.xml"/><Relationship Id="rId12" Type="http://schemas.openxmlformats.org/officeDocument/2006/relationships/pivotCacheDefinition" Target="pivotCache/pivotCacheDefinition4.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pivotCacheDefinition" Target="pivotCache/pivotCacheDefinition2.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1.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 job market analytics dashboard.xlsx]Monthly AI job Postings!PivotTable2</c:name>
    <c:fmtId val="2"/>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sz="1400" b="0" i="0" u="none" strike="noStrike" cap="none" baseline="0">
                <a:solidFill>
                  <a:schemeClr val="bg1"/>
                </a:solidFill>
                <a:effectLst/>
              </a:rPr>
              <a:t>Monthly AI job postings </a:t>
            </a:r>
            <a:endParaRPr lang="en-US">
              <a:solidFill>
                <a:schemeClr val="bg1"/>
              </a:solidFill>
            </a:endParaRPr>
          </a:p>
        </c:rich>
      </c:tx>
      <c:overlay val="0"/>
      <c:spPr>
        <a:noFill/>
        <a:ln>
          <a:solidFill>
            <a:schemeClr val="bg1"/>
          </a:solid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AI job Postings'!$B$3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'Monthly AI job Postings'!$A$4:$A$19</c:f>
              <c:strCache>
                <c:ptCount val="15"/>
                <c:pt idx="0">
                  <c:v>AI Analyst</c:v>
                </c:pt>
                <c:pt idx="1">
                  <c:v>AI Engineer</c:v>
                </c:pt>
                <c:pt idx="2">
                  <c:v>AI Ethics Researcher</c:v>
                </c:pt>
                <c:pt idx="3">
                  <c:v>AI Product Manager</c:v>
                </c:pt>
                <c:pt idx="4">
                  <c:v>AI Research Scientist</c:v>
                </c:pt>
                <c:pt idx="5">
                  <c:v>AI/ML Architect</c:v>
                </c:pt>
                <c:pt idx="6">
                  <c:v>Computer Vision Engineer</c:v>
                </c:pt>
                <c:pt idx="7">
                  <c:v>Data Scientist</c:v>
                </c:pt>
                <c:pt idx="8">
                  <c:v>Deep Learning Engineer</c:v>
                </c:pt>
                <c:pt idx="9">
                  <c:v>LLM Fine-tune Specialist</c:v>
                </c:pt>
                <c:pt idx="10">
                  <c:v>ML Engineer</c:v>
                </c:pt>
                <c:pt idx="11">
                  <c:v>MLOps Engineer</c:v>
                </c:pt>
                <c:pt idx="12">
                  <c:v>NLP Engineer</c:v>
                </c:pt>
                <c:pt idx="13">
                  <c:v>Prompt Engineer</c:v>
                </c:pt>
                <c:pt idx="14">
                  <c:v>Robotics AI Engineer</c:v>
                </c:pt>
              </c:strCache>
            </c:strRef>
          </c:cat>
          <c:val>
            <c:numRef>
              <c:f>'Monthly AI job Postings'!$B$4:$B$19</c:f>
              <c:numCache>
                <c:formatCode>General</c:formatCode>
                <c:ptCount val="15"/>
                <c:pt idx="0">
                  <c:v>731013</c:v>
                </c:pt>
                <c:pt idx="1">
                  <c:v>365692</c:v>
                </c:pt>
                <c:pt idx="2">
                  <c:v>502279</c:v>
                </c:pt>
                <c:pt idx="3">
                  <c:v>822093</c:v>
                </c:pt>
                <c:pt idx="4">
                  <c:v>912398</c:v>
                </c:pt>
                <c:pt idx="5">
                  <c:v>731113</c:v>
                </c:pt>
                <c:pt idx="6">
                  <c:v>456259</c:v>
                </c:pt>
                <c:pt idx="7">
                  <c:v>502496</c:v>
                </c:pt>
                <c:pt idx="8">
                  <c:v>639570</c:v>
                </c:pt>
                <c:pt idx="9">
                  <c:v>592820</c:v>
                </c:pt>
                <c:pt idx="10">
                  <c:v>502245</c:v>
                </c:pt>
                <c:pt idx="11">
                  <c:v>1004572</c:v>
                </c:pt>
                <c:pt idx="12">
                  <c:v>410147</c:v>
                </c:pt>
                <c:pt idx="13">
                  <c:v>410763</c:v>
                </c:pt>
                <c:pt idx="14">
                  <c:v>548370</c:v>
                </c:pt>
              </c:numCache>
            </c:numRef>
          </c:val>
          <c:smooth val="0"/>
          <c:extLst>
            <c:ext xmlns:c16="http://schemas.microsoft.com/office/drawing/2014/chart" uri="{C3380CC4-5D6E-409C-BE32-E72D297353CC}">
              <c16:uniqueId val="{00000001-9B66-4F55-ABC3-93C41DC7C2A4}"/>
            </c:ext>
          </c:extLst>
        </c:ser>
        <c:dLbls>
          <c:dLblPos val="t"/>
          <c:showLegendKey val="0"/>
          <c:showVal val="1"/>
          <c:showCatName val="0"/>
          <c:showSerName val="0"/>
          <c:showPercent val="0"/>
          <c:showBubbleSize val="0"/>
        </c:dLbls>
        <c:marker val="1"/>
        <c:smooth val="0"/>
        <c:axId val="2052945471"/>
        <c:axId val="2052951711"/>
      </c:lineChart>
      <c:catAx>
        <c:axId val="2052945471"/>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52951711"/>
        <c:crosses val="autoZero"/>
        <c:auto val="1"/>
        <c:lblAlgn val="ctr"/>
        <c:lblOffset val="100"/>
        <c:noMultiLvlLbl val="0"/>
      </c:catAx>
      <c:valAx>
        <c:axId val="2052951711"/>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529454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 job market analytics dashboard.xlsx]Job Share By employment type!PivotTable3</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0" i="0" u="none" strike="noStrike" baseline="0">
                <a:effectLst/>
              </a:rPr>
              <a:t>Job share by employment type</a:t>
            </a:r>
            <a:endParaRPr lang="en-US"/>
          </a:p>
        </c:rich>
      </c:tx>
      <c:overlay val="0"/>
      <c:spPr>
        <a:noFill/>
        <a:ln>
          <a:solidFill>
            <a:schemeClr val="bg1"/>
          </a:solid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'Job Share By employment type'!$B$3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BD6F-4635-B2A1-52A9A3CB4E2E}"/>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BD6F-4635-B2A1-52A9A3CB4E2E}"/>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BD6F-4635-B2A1-52A9A3CB4E2E}"/>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BD6F-4635-B2A1-52A9A3CB4E2E}"/>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BD6F-4635-B2A1-52A9A3CB4E2E}"/>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BD6F-4635-B2A1-52A9A3CB4E2E}"/>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BD6F-4635-B2A1-52A9A3CB4E2E}"/>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BD6F-4635-B2A1-52A9A3CB4E2E}"/>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BD6F-4635-B2A1-52A9A3CB4E2E}"/>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BD6F-4635-B2A1-52A9A3CB4E2E}"/>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BD6F-4635-B2A1-52A9A3CB4E2E}"/>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BD6F-4635-B2A1-52A9A3CB4E2E}"/>
              </c:ext>
            </c:extLst>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BD6F-4635-B2A1-52A9A3CB4E2E}"/>
              </c:ext>
            </c:extLst>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BD6F-4635-B2A1-52A9A3CB4E2E}"/>
              </c:ext>
            </c:extLst>
          </c:dPt>
          <c:dPt>
            <c:idx val="1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BD6F-4635-B2A1-52A9A3CB4E2E}"/>
              </c:ext>
            </c:extLst>
          </c:dPt>
          <c:dLbls>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'Job Share By employment type'!$A$4:$A$19</c:f>
              <c:strCache>
                <c:ptCount val="15"/>
                <c:pt idx="0">
                  <c:v>AI Analyst</c:v>
                </c:pt>
                <c:pt idx="1">
                  <c:v>AI Engineer</c:v>
                </c:pt>
                <c:pt idx="2">
                  <c:v>AI Ethics Researcher</c:v>
                </c:pt>
                <c:pt idx="3">
                  <c:v>AI Product Manager</c:v>
                </c:pt>
                <c:pt idx="4">
                  <c:v>AI Research Scientist</c:v>
                </c:pt>
                <c:pt idx="5">
                  <c:v>AI/ML Architect</c:v>
                </c:pt>
                <c:pt idx="6">
                  <c:v>Computer Vision Engineer</c:v>
                </c:pt>
                <c:pt idx="7">
                  <c:v>Data Scientist</c:v>
                </c:pt>
                <c:pt idx="8">
                  <c:v>Deep Learning Engineer</c:v>
                </c:pt>
                <c:pt idx="9">
                  <c:v>LLM Fine-tune Specialist</c:v>
                </c:pt>
                <c:pt idx="10">
                  <c:v>ML Engineer</c:v>
                </c:pt>
                <c:pt idx="11">
                  <c:v>MLOps Engineer</c:v>
                </c:pt>
                <c:pt idx="12">
                  <c:v>NLP Engineer</c:v>
                </c:pt>
                <c:pt idx="13">
                  <c:v>Prompt Engineer</c:v>
                </c:pt>
                <c:pt idx="14">
                  <c:v>Robotics AI Engineer</c:v>
                </c:pt>
              </c:strCache>
            </c:strRef>
          </c:cat>
          <c:val>
            <c:numRef>
              <c:f>'Job Share By employment type'!$B$4:$B$19</c:f>
              <c:numCache>
                <c:formatCode>General</c:formatCode>
                <c:ptCount val="15"/>
                <c:pt idx="0">
                  <c:v>16</c:v>
                </c:pt>
                <c:pt idx="1">
                  <c:v>8</c:v>
                </c:pt>
                <c:pt idx="2">
                  <c:v>11</c:v>
                </c:pt>
                <c:pt idx="3">
                  <c:v>18</c:v>
                </c:pt>
                <c:pt idx="4">
                  <c:v>20</c:v>
                </c:pt>
                <c:pt idx="5">
                  <c:v>16</c:v>
                </c:pt>
                <c:pt idx="6">
                  <c:v>10</c:v>
                </c:pt>
                <c:pt idx="7">
                  <c:v>11</c:v>
                </c:pt>
                <c:pt idx="8">
                  <c:v>14</c:v>
                </c:pt>
                <c:pt idx="9">
                  <c:v>13</c:v>
                </c:pt>
                <c:pt idx="10">
                  <c:v>11</c:v>
                </c:pt>
                <c:pt idx="11">
                  <c:v>22</c:v>
                </c:pt>
                <c:pt idx="12">
                  <c:v>9</c:v>
                </c:pt>
                <c:pt idx="13">
                  <c:v>9</c:v>
                </c:pt>
                <c:pt idx="14">
                  <c:v>12</c:v>
                </c:pt>
              </c:numCache>
            </c:numRef>
          </c:val>
          <c:extLst>
            <c:ext xmlns:c16="http://schemas.microsoft.com/office/drawing/2014/chart" uri="{C3380CC4-5D6E-409C-BE32-E72D297353CC}">
              <c16:uniqueId val="{0000001E-BD6F-4635-B2A1-52A9A3CB4E2E}"/>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 job market analytics dashboard.xlsx]Avg salary by Role!PivotTable4</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Avg salary by Role</a:t>
            </a:r>
          </a:p>
        </c:rich>
      </c:tx>
      <c:overlay val="0"/>
      <c:spPr>
        <a:noFill/>
        <a:ln>
          <a:solidFill>
            <a:schemeClr val="bg1"/>
          </a:solid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'Avg salary by Role'!$B$3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'Avg salary by Role'!$A$4:$A$19</c:f>
              <c:strCache>
                <c:ptCount val="15"/>
                <c:pt idx="0">
                  <c:v>AI Analyst</c:v>
                </c:pt>
                <c:pt idx="1">
                  <c:v>AI Engineer</c:v>
                </c:pt>
                <c:pt idx="2">
                  <c:v>AI Ethics Researcher</c:v>
                </c:pt>
                <c:pt idx="3">
                  <c:v>AI Product Manager</c:v>
                </c:pt>
                <c:pt idx="4">
                  <c:v>AI Research Scientist</c:v>
                </c:pt>
                <c:pt idx="5">
                  <c:v>AI/ML Architect</c:v>
                </c:pt>
                <c:pt idx="6">
                  <c:v>Computer Vision Engineer</c:v>
                </c:pt>
                <c:pt idx="7">
                  <c:v>Data Scientist</c:v>
                </c:pt>
                <c:pt idx="8">
                  <c:v>Deep Learning Engineer</c:v>
                </c:pt>
                <c:pt idx="9">
                  <c:v>LLM Fine-tune Specialist</c:v>
                </c:pt>
                <c:pt idx="10">
                  <c:v>ML Engineer</c:v>
                </c:pt>
                <c:pt idx="11">
                  <c:v>MLOps Engineer</c:v>
                </c:pt>
                <c:pt idx="12">
                  <c:v>NLP Engineer</c:v>
                </c:pt>
                <c:pt idx="13">
                  <c:v>Prompt Engineer</c:v>
                </c:pt>
                <c:pt idx="14">
                  <c:v>Robotics AI Engineer</c:v>
                </c:pt>
              </c:strCache>
            </c:strRef>
          </c:cat>
          <c:val>
            <c:numRef>
              <c:f>'Avg salary by Role'!$B$4:$B$19</c:f>
              <c:numCache>
                <c:formatCode>General</c:formatCode>
                <c:ptCount val="15"/>
                <c:pt idx="0">
                  <c:v>104062.5</c:v>
                </c:pt>
                <c:pt idx="1">
                  <c:v>148250</c:v>
                </c:pt>
                <c:pt idx="2">
                  <c:v>131090.90909090909</c:v>
                </c:pt>
                <c:pt idx="3">
                  <c:v>180833.33333333334</c:v>
                </c:pt>
                <c:pt idx="4">
                  <c:v>186250</c:v>
                </c:pt>
                <c:pt idx="5">
                  <c:v>209500</c:v>
                </c:pt>
                <c:pt idx="6">
                  <c:v>167100</c:v>
                </c:pt>
                <c:pt idx="7">
                  <c:v>123272.72727272728</c:v>
                </c:pt>
                <c:pt idx="8">
                  <c:v>177071.42857142858</c:v>
                </c:pt>
                <c:pt idx="9">
                  <c:v>151692.30769230769</c:v>
                </c:pt>
                <c:pt idx="10">
                  <c:v>165090.90909090909</c:v>
                </c:pt>
                <c:pt idx="11">
                  <c:v>139727.27272727274</c:v>
                </c:pt>
                <c:pt idx="12">
                  <c:v>158555.55555555556</c:v>
                </c:pt>
                <c:pt idx="13">
                  <c:v>150000</c:v>
                </c:pt>
                <c:pt idx="14">
                  <c:v>143833.33333333334</c:v>
                </c:pt>
              </c:numCache>
            </c:numRef>
          </c:val>
          <c:extLst>
            <c:ext xmlns:c16="http://schemas.microsoft.com/office/drawing/2014/chart" uri="{C3380CC4-5D6E-409C-BE32-E72D297353CC}">
              <c16:uniqueId val="{00000000-0430-43E0-8564-28EF35F2C837}"/>
            </c:ext>
          </c:extLst>
        </c:ser>
        <c:dLbls>
          <c:dLblPos val="inEnd"/>
          <c:showLegendKey val="0"/>
          <c:showVal val="1"/>
          <c:showCatName val="0"/>
          <c:showSerName val="0"/>
          <c:showPercent val="0"/>
          <c:showBubbleSize val="0"/>
        </c:dLbls>
        <c:gapWidth val="115"/>
        <c:overlap val="-20"/>
        <c:axId val="2057717167"/>
        <c:axId val="2057714255"/>
      </c:barChart>
      <c:catAx>
        <c:axId val="205771716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57714255"/>
        <c:crosses val="autoZero"/>
        <c:auto val="1"/>
        <c:lblAlgn val="ctr"/>
        <c:lblOffset val="100"/>
        <c:noMultiLvlLbl val="0"/>
      </c:catAx>
      <c:valAx>
        <c:axId val="2057714255"/>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577171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 job market analytics dashboard.xlsx]Top hiring sectors!PivotTable5</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0" i="0" u="none" strike="noStrike" baseline="0">
                <a:effectLst/>
              </a:rPr>
              <a:t>Top hiring sectors</a:t>
            </a:r>
            <a:endParaRPr lang="en-US"/>
          </a:p>
        </c:rich>
      </c:tx>
      <c:overlay val="0"/>
      <c:spPr>
        <a:noFill/>
        <a:ln>
          <a:solidFill>
            <a:schemeClr val="bg1"/>
          </a:solid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hiring sectors'!$B$3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'Top hiring sectors'!$A$4:$A$19</c:f>
              <c:strCache>
                <c:ptCount val="15"/>
                <c:pt idx="0">
                  <c:v>AI Analyst</c:v>
                </c:pt>
                <c:pt idx="1">
                  <c:v>AI Engineer</c:v>
                </c:pt>
                <c:pt idx="2">
                  <c:v>AI Ethics Researcher</c:v>
                </c:pt>
                <c:pt idx="3">
                  <c:v>AI Product Manager</c:v>
                </c:pt>
                <c:pt idx="4">
                  <c:v>AI Research Scientist</c:v>
                </c:pt>
                <c:pt idx="5">
                  <c:v>AI/ML Architect</c:v>
                </c:pt>
                <c:pt idx="6">
                  <c:v>Computer Vision Engineer</c:v>
                </c:pt>
                <c:pt idx="7">
                  <c:v>Data Scientist</c:v>
                </c:pt>
                <c:pt idx="8">
                  <c:v>Deep Learning Engineer</c:v>
                </c:pt>
                <c:pt idx="9">
                  <c:v>LLM Fine-tune Specialist</c:v>
                </c:pt>
                <c:pt idx="10">
                  <c:v>ML Engineer</c:v>
                </c:pt>
                <c:pt idx="11">
                  <c:v>MLOps Engineer</c:v>
                </c:pt>
                <c:pt idx="12">
                  <c:v>NLP Engineer</c:v>
                </c:pt>
                <c:pt idx="13">
                  <c:v>Prompt Engineer</c:v>
                </c:pt>
                <c:pt idx="14">
                  <c:v>Robotics AI Engineer</c:v>
                </c:pt>
              </c:strCache>
            </c:strRef>
          </c:cat>
          <c:val>
            <c:numRef>
              <c:f>'Top hiring sectors'!$B$4:$B$19</c:f>
              <c:numCache>
                <c:formatCode>General</c:formatCode>
                <c:ptCount val="15"/>
                <c:pt idx="0">
                  <c:v>16</c:v>
                </c:pt>
                <c:pt idx="1">
                  <c:v>8</c:v>
                </c:pt>
                <c:pt idx="2">
                  <c:v>11</c:v>
                </c:pt>
                <c:pt idx="3">
                  <c:v>18</c:v>
                </c:pt>
                <c:pt idx="4">
                  <c:v>20</c:v>
                </c:pt>
                <c:pt idx="5">
                  <c:v>16</c:v>
                </c:pt>
                <c:pt idx="6">
                  <c:v>10</c:v>
                </c:pt>
                <c:pt idx="7">
                  <c:v>11</c:v>
                </c:pt>
                <c:pt idx="8">
                  <c:v>14</c:v>
                </c:pt>
                <c:pt idx="9">
                  <c:v>13</c:v>
                </c:pt>
                <c:pt idx="10">
                  <c:v>11</c:v>
                </c:pt>
                <c:pt idx="11">
                  <c:v>22</c:v>
                </c:pt>
                <c:pt idx="12">
                  <c:v>9</c:v>
                </c:pt>
                <c:pt idx="13">
                  <c:v>9</c:v>
                </c:pt>
                <c:pt idx="14">
                  <c:v>12</c:v>
                </c:pt>
              </c:numCache>
            </c:numRef>
          </c:val>
          <c:extLst>
            <c:ext xmlns:c16="http://schemas.microsoft.com/office/drawing/2014/chart" uri="{C3380CC4-5D6E-409C-BE32-E72D297353CC}">
              <c16:uniqueId val="{00000000-393C-4635-9BB2-31D1346D9848}"/>
            </c:ext>
          </c:extLst>
        </c:ser>
        <c:dLbls>
          <c:dLblPos val="outEnd"/>
          <c:showLegendKey val="0"/>
          <c:showVal val="1"/>
          <c:showCatName val="0"/>
          <c:showSerName val="0"/>
          <c:showPercent val="0"/>
          <c:showBubbleSize val="0"/>
        </c:dLbls>
        <c:gapWidth val="100"/>
        <c:overlap val="-24"/>
        <c:axId val="2143808447"/>
        <c:axId val="2143805951"/>
      </c:barChart>
      <c:catAx>
        <c:axId val="214380844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43805951"/>
        <c:crosses val="autoZero"/>
        <c:auto val="1"/>
        <c:lblAlgn val="ctr"/>
        <c:lblOffset val="100"/>
        <c:noMultiLvlLbl val="0"/>
      </c:catAx>
      <c:valAx>
        <c:axId val="214380595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438084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 job market analytics dashboard.xlsx]Sheet1!PivotTable1</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baseline="0">
                <a:effectLst>
                  <a:outerShdw blurRad="50800" dist="38100" dir="5400000" algn="t" rotWithShape="0">
                    <a:prstClr val="black">
                      <a:alpha val="40000"/>
                    </a:prstClr>
                  </a:outerShdw>
                </a:effectLst>
              </a:rPr>
              <a:t>Company vs Experience </a:t>
            </a:r>
            <a:endParaRPr lang="en-US"/>
          </a:p>
        </c:rich>
      </c:tx>
      <c:overlay val="0"/>
      <c:spPr>
        <a:noFill/>
        <a:ln>
          <a:solidFill>
            <a:schemeClr val="bg1"/>
          </a:solid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Sheet1!$A$4:$A$34</c:f>
              <c:strCache>
                <c:ptCount val="30"/>
                <c:pt idx="0">
                  <c:v>Adobe</c:v>
                </c:pt>
                <c:pt idx="1">
                  <c:v>Amazon</c:v>
                </c:pt>
                <c:pt idx="2">
                  <c:v>Anthropic</c:v>
                </c:pt>
                <c:pt idx="3">
                  <c:v>Apple</c:v>
                </c:pt>
                <c:pt idx="4">
                  <c:v>C3.ai</c:v>
                </c:pt>
                <c:pt idx="5">
                  <c:v>Cohere</c:v>
                </c:pt>
                <c:pt idx="6">
                  <c:v>Cruise</c:v>
                </c:pt>
                <c:pt idx="7">
                  <c:v>Databricks</c:v>
                </c:pt>
                <c:pt idx="8">
                  <c:v>DataRobot</c:v>
                </c:pt>
                <c:pt idx="9">
                  <c:v>Google DeepMind</c:v>
                </c:pt>
                <c:pt idx="10">
                  <c:v>H2O.ai</c:v>
                </c:pt>
                <c:pt idx="11">
                  <c:v>Hugging Face</c:v>
                </c:pt>
                <c:pt idx="12">
                  <c:v>IBM</c:v>
                </c:pt>
                <c:pt idx="13">
                  <c:v>Inflection AI</c:v>
                </c:pt>
                <c:pt idx="14">
                  <c:v>Meta AI</c:v>
                </c:pt>
                <c:pt idx="15">
                  <c:v>Microsoft</c:v>
                </c:pt>
                <c:pt idx="16">
                  <c:v>Mistral AI</c:v>
                </c:pt>
                <c:pt idx="17">
                  <c:v>Nvidia</c:v>
                </c:pt>
                <c:pt idx="18">
                  <c:v>OpenAI</c:v>
                </c:pt>
                <c:pt idx="19">
                  <c:v>Oracle</c:v>
                </c:pt>
                <c:pt idx="20">
                  <c:v>Palantir</c:v>
                </c:pt>
                <c:pt idx="21">
                  <c:v>Pinecone</c:v>
                </c:pt>
                <c:pt idx="22">
                  <c:v>Salesforce</c:v>
                </c:pt>
                <c:pt idx="23">
                  <c:v>SAP</c:v>
                </c:pt>
                <c:pt idx="24">
                  <c:v>Scale AI</c:v>
                </c:pt>
                <c:pt idx="25">
                  <c:v>Stability AI</c:v>
                </c:pt>
                <c:pt idx="26">
                  <c:v>Tesla</c:v>
                </c:pt>
                <c:pt idx="27">
                  <c:v>Waymo</c:v>
                </c:pt>
                <c:pt idx="28">
                  <c:v>Weaviate</c:v>
                </c:pt>
                <c:pt idx="29">
                  <c:v>Weights &amp; Biases</c:v>
                </c:pt>
              </c:strCache>
            </c:strRef>
          </c:cat>
          <c:val>
            <c:numRef>
              <c:f>Sheet1!$B$4:$B$34</c:f>
              <c:numCache>
                <c:formatCode>General</c:formatCode>
                <c:ptCount val="30"/>
                <c:pt idx="0">
                  <c:v>5</c:v>
                </c:pt>
                <c:pt idx="1">
                  <c:v>7</c:v>
                </c:pt>
                <c:pt idx="2">
                  <c:v>5</c:v>
                </c:pt>
                <c:pt idx="3">
                  <c:v>5</c:v>
                </c:pt>
                <c:pt idx="4">
                  <c:v>7</c:v>
                </c:pt>
                <c:pt idx="5">
                  <c:v>13</c:v>
                </c:pt>
                <c:pt idx="6">
                  <c:v>6</c:v>
                </c:pt>
                <c:pt idx="7">
                  <c:v>8</c:v>
                </c:pt>
                <c:pt idx="8">
                  <c:v>3</c:v>
                </c:pt>
                <c:pt idx="9">
                  <c:v>8</c:v>
                </c:pt>
                <c:pt idx="10">
                  <c:v>3</c:v>
                </c:pt>
                <c:pt idx="11">
                  <c:v>8</c:v>
                </c:pt>
                <c:pt idx="12">
                  <c:v>7</c:v>
                </c:pt>
                <c:pt idx="13">
                  <c:v>4</c:v>
                </c:pt>
                <c:pt idx="14">
                  <c:v>6</c:v>
                </c:pt>
                <c:pt idx="15">
                  <c:v>5</c:v>
                </c:pt>
                <c:pt idx="16">
                  <c:v>5</c:v>
                </c:pt>
                <c:pt idx="17">
                  <c:v>11</c:v>
                </c:pt>
                <c:pt idx="18">
                  <c:v>5</c:v>
                </c:pt>
                <c:pt idx="19">
                  <c:v>13</c:v>
                </c:pt>
                <c:pt idx="20">
                  <c:v>7</c:v>
                </c:pt>
                <c:pt idx="21">
                  <c:v>2</c:v>
                </c:pt>
                <c:pt idx="22">
                  <c:v>7</c:v>
                </c:pt>
                <c:pt idx="23">
                  <c:v>10</c:v>
                </c:pt>
                <c:pt idx="24">
                  <c:v>5</c:v>
                </c:pt>
                <c:pt idx="25">
                  <c:v>9</c:v>
                </c:pt>
                <c:pt idx="26">
                  <c:v>6</c:v>
                </c:pt>
                <c:pt idx="27">
                  <c:v>10</c:v>
                </c:pt>
                <c:pt idx="28">
                  <c:v>5</c:v>
                </c:pt>
                <c:pt idx="29">
                  <c:v>5</c:v>
                </c:pt>
              </c:numCache>
            </c:numRef>
          </c:val>
          <c:extLst>
            <c:ext xmlns:c16="http://schemas.microsoft.com/office/drawing/2014/chart" uri="{C3380CC4-5D6E-409C-BE32-E72D297353CC}">
              <c16:uniqueId val="{00000000-B5C9-46CE-83B1-43C60884C1F1}"/>
            </c:ext>
          </c:extLst>
        </c:ser>
        <c:dLbls>
          <c:dLblPos val="outEnd"/>
          <c:showLegendKey val="0"/>
          <c:showVal val="1"/>
          <c:showCatName val="0"/>
          <c:showSerName val="0"/>
          <c:showPercent val="0"/>
          <c:showBubbleSize val="0"/>
        </c:dLbls>
        <c:gapWidth val="150"/>
        <c:axId val="2071509247"/>
        <c:axId val="2071500511"/>
      </c:barChart>
      <c:catAx>
        <c:axId val="207150924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71500511"/>
        <c:crosses val="autoZero"/>
        <c:auto val="1"/>
        <c:lblAlgn val="ctr"/>
        <c:lblOffset val="100"/>
        <c:noMultiLvlLbl val="0"/>
      </c:catAx>
      <c:valAx>
        <c:axId val="207150051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71509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 job market analytics dashboard.xlsx]Monthly AI job Postings!PivotTable2</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sz="1400" b="0" i="0" u="none" strike="noStrike" cap="none" baseline="0">
                <a:solidFill>
                  <a:schemeClr val="bg1"/>
                </a:solidFill>
                <a:effectLst/>
              </a:rPr>
              <a:t>Monthly AI job postings </a:t>
            </a:r>
            <a:endParaRPr lang="en-US">
              <a:solidFill>
                <a:schemeClr val="bg1"/>
              </a:solidFill>
            </a:endParaRPr>
          </a:p>
        </c:rich>
      </c:tx>
      <c:overlay val="0"/>
      <c:spPr>
        <a:noFill/>
        <a:ln>
          <a:solidFill>
            <a:schemeClr val="bg1"/>
          </a:solid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AI job Postings'!$B$3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'Monthly AI job Postings'!$A$4:$A$19</c:f>
              <c:strCache>
                <c:ptCount val="15"/>
                <c:pt idx="0">
                  <c:v>AI Analyst</c:v>
                </c:pt>
                <c:pt idx="1">
                  <c:v>AI Engineer</c:v>
                </c:pt>
                <c:pt idx="2">
                  <c:v>AI Ethics Researcher</c:v>
                </c:pt>
                <c:pt idx="3">
                  <c:v>AI Product Manager</c:v>
                </c:pt>
                <c:pt idx="4">
                  <c:v>AI Research Scientist</c:v>
                </c:pt>
                <c:pt idx="5">
                  <c:v>AI/ML Architect</c:v>
                </c:pt>
                <c:pt idx="6">
                  <c:v>Computer Vision Engineer</c:v>
                </c:pt>
                <c:pt idx="7">
                  <c:v>Data Scientist</c:v>
                </c:pt>
                <c:pt idx="8">
                  <c:v>Deep Learning Engineer</c:v>
                </c:pt>
                <c:pt idx="9">
                  <c:v>LLM Fine-tune Specialist</c:v>
                </c:pt>
                <c:pt idx="10">
                  <c:v>ML Engineer</c:v>
                </c:pt>
                <c:pt idx="11">
                  <c:v>MLOps Engineer</c:v>
                </c:pt>
                <c:pt idx="12">
                  <c:v>NLP Engineer</c:v>
                </c:pt>
                <c:pt idx="13">
                  <c:v>Prompt Engineer</c:v>
                </c:pt>
                <c:pt idx="14">
                  <c:v>Robotics AI Engineer</c:v>
                </c:pt>
              </c:strCache>
            </c:strRef>
          </c:cat>
          <c:val>
            <c:numRef>
              <c:f>'Monthly AI job Postings'!$B$4:$B$19</c:f>
              <c:numCache>
                <c:formatCode>General</c:formatCode>
                <c:ptCount val="15"/>
                <c:pt idx="0">
                  <c:v>731013</c:v>
                </c:pt>
                <c:pt idx="1">
                  <c:v>365692</c:v>
                </c:pt>
                <c:pt idx="2">
                  <c:v>502279</c:v>
                </c:pt>
                <c:pt idx="3">
                  <c:v>822093</c:v>
                </c:pt>
                <c:pt idx="4">
                  <c:v>912398</c:v>
                </c:pt>
                <c:pt idx="5">
                  <c:v>731113</c:v>
                </c:pt>
                <c:pt idx="6">
                  <c:v>456259</c:v>
                </c:pt>
                <c:pt idx="7">
                  <c:v>502496</c:v>
                </c:pt>
                <c:pt idx="8">
                  <c:v>639570</c:v>
                </c:pt>
                <c:pt idx="9">
                  <c:v>592820</c:v>
                </c:pt>
                <c:pt idx="10">
                  <c:v>502245</c:v>
                </c:pt>
                <c:pt idx="11">
                  <c:v>1004572</c:v>
                </c:pt>
                <c:pt idx="12">
                  <c:v>410147</c:v>
                </c:pt>
                <c:pt idx="13">
                  <c:v>410763</c:v>
                </c:pt>
                <c:pt idx="14">
                  <c:v>548370</c:v>
                </c:pt>
              </c:numCache>
            </c:numRef>
          </c:val>
          <c:smooth val="0"/>
          <c:extLst>
            <c:ext xmlns:c16="http://schemas.microsoft.com/office/drawing/2014/chart" uri="{C3380CC4-5D6E-409C-BE32-E72D297353CC}">
              <c16:uniqueId val="{00000000-C461-4012-AA43-E5BB97F2FD9B}"/>
            </c:ext>
          </c:extLst>
        </c:ser>
        <c:dLbls>
          <c:showLegendKey val="0"/>
          <c:showVal val="0"/>
          <c:showCatName val="0"/>
          <c:showSerName val="0"/>
          <c:showPercent val="0"/>
          <c:showBubbleSize val="0"/>
        </c:dLbls>
        <c:marker val="1"/>
        <c:smooth val="0"/>
        <c:axId val="2052945471"/>
        <c:axId val="2052951711"/>
      </c:lineChart>
      <c:catAx>
        <c:axId val="2052945471"/>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52951711"/>
        <c:crosses val="autoZero"/>
        <c:auto val="1"/>
        <c:lblAlgn val="ctr"/>
        <c:lblOffset val="100"/>
        <c:noMultiLvlLbl val="0"/>
      </c:catAx>
      <c:valAx>
        <c:axId val="2052951711"/>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529454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 job market analytics dashboard.xlsx]Job Share By employment type!PivotTable3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0" i="0" u="none" strike="noStrike" baseline="0">
                <a:effectLst/>
              </a:rPr>
              <a:t>Job share by employment type</a:t>
            </a:r>
            <a:endParaRPr lang="en-US"/>
          </a:p>
        </c:rich>
      </c:tx>
      <c:overlay val="0"/>
      <c:spPr>
        <a:noFill/>
        <a:ln>
          <a:solidFill>
            <a:schemeClr val="bg1"/>
          </a:solid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'Job Share By employment type'!$B$3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089E-4F9A-BFDE-CAEC0CB86E48}"/>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089E-4F9A-BFDE-CAEC0CB86E48}"/>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089E-4F9A-BFDE-CAEC0CB86E48}"/>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089E-4F9A-BFDE-CAEC0CB86E48}"/>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089E-4F9A-BFDE-CAEC0CB86E48}"/>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089E-4F9A-BFDE-CAEC0CB86E48}"/>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089E-4F9A-BFDE-CAEC0CB86E48}"/>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089E-4F9A-BFDE-CAEC0CB86E48}"/>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089E-4F9A-BFDE-CAEC0CB86E48}"/>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089E-4F9A-BFDE-CAEC0CB86E48}"/>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089E-4F9A-BFDE-CAEC0CB86E48}"/>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089E-4F9A-BFDE-CAEC0CB86E48}"/>
              </c:ext>
            </c:extLst>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089E-4F9A-BFDE-CAEC0CB86E48}"/>
              </c:ext>
            </c:extLst>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089E-4F9A-BFDE-CAEC0CB86E48}"/>
              </c:ext>
            </c:extLst>
          </c:dPt>
          <c:dPt>
            <c:idx val="1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089E-4F9A-BFDE-CAEC0CB86E48}"/>
              </c:ext>
            </c:extLst>
          </c:dPt>
          <c:dLbls>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'Job Share By employment type'!$A$4:$A$19</c:f>
              <c:strCache>
                <c:ptCount val="15"/>
                <c:pt idx="0">
                  <c:v>AI Analyst</c:v>
                </c:pt>
                <c:pt idx="1">
                  <c:v>AI Engineer</c:v>
                </c:pt>
                <c:pt idx="2">
                  <c:v>AI Ethics Researcher</c:v>
                </c:pt>
                <c:pt idx="3">
                  <c:v>AI Product Manager</c:v>
                </c:pt>
                <c:pt idx="4">
                  <c:v>AI Research Scientist</c:v>
                </c:pt>
                <c:pt idx="5">
                  <c:v>AI/ML Architect</c:v>
                </c:pt>
                <c:pt idx="6">
                  <c:v>Computer Vision Engineer</c:v>
                </c:pt>
                <c:pt idx="7">
                  <c:v>Data Scientist</c:v>
                </c:pt>
                <c:pt idx="8">
                  <c:v>Deep Learning Engineer</c:v>
                </c:pt>
                <c:pt idx="9">
                  <c:v>LLM Fine-tune Specialist</c:v>
                </c:pt>
                <c:pt idx="10">
                  <c:v>ML Engineer</c:v>
                </c:pt>
                <c:pt idx="11">
                  <c:v>MLOps Engineer</c:v>
                </c:pt>
                <c:pt idx="12">
                  <c:v>NLP Engineer</c:v>
                </c:pt>
                <c:pt idx="13">
                  <c:v>Prompt Engineer</c:v>
                </c:pt>
                <c:pt idx="14">
                  <c:v>Robotics AI Engineer</c:v>
                </c:pt>
              </c:strCache>
            </c:strRef>
          </c:cat>
          <c:val>
            <c:numRef>
              <c:f>'Job Share By employment type'!$B$4:$B$19</c:f>
              <c:numCache>
                <c:formatCode>General</c:formatCode>
                <c:ptCount val="15"/>
                <c:pt idx="0">
                  <c:v>16</c:v>
                </c:pt>
                <c:pt idx="1">
                  <c:v>8</c:v>
                </c:pt>
                <c:pt idx="2">
                  <c:v>11</c:v>
                </c:pt>
                <c:pt idx="3">
                  <c:v>18</c:v>
                </c:pt>
                <c:pt idx="4">
                  <c:v>20</c:v>
                </c:pt>
                <c:pt idx="5">
                  <c:v>16</c:v>
                </c:pt>
                <c:pt idx="6">
                  <c:v>10</c:v>
                </c:pt>
                <c:pt idx="7">
                  <c:v>11</c:v>
                </c:pt>
                <c:pt idx="8">
                  <c:v>14</c:v>
                </c:pt>
                <c:pt idx="9">
                  <c:v>13</c:v>
                </c:pt>
                <c:pt idx="10">
                  <c:v>11</c:v>
                </c:pt>
                <c:pt idx="11">
                  <c:v>22</c:v>
                </c:pt>
                <c:pt idx="12">
                  <c:v>9</c:v>
                </c:pt>
                <c:pt idx="13">
                  <c:v>9</c:v>
                </c:pt>
                <c:pt idx="14">
                  <c:v>12</c:v>
                </c:pt>
              </c:numCache>
            </c:numRef>
          </c:val>
          <c:extLst>
            <c:ext xmlns:c16="http://schemas.microsoft.com/office/drawing/2014/chart" uri="{C3380CC4-5D6E-409C-BE32-E72D297353CC}">
              <c16:uniqueId val="{00000000-0229-4983-93B1-1A2DA1D1CD62}"/>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 job market analytics dashboard.xlsx]Avg salary by Role!PivotTable4</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Avg salary by Role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'Avg salary by Role'!$B$3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'Avg salary by Role'!$A$4:$A$19</c:f>
              <c:strCache>
                <c:ptCount val="15"/>
                <c:pt idx="0">
                  <c:v>AI Analyst</c:v>
                </c:pt>
                <c:pt idx="1">
                  <c:v>AI Engineer</c:v>
                </c:pt>
                <c:pt idx="2">
                  <c:v>AI Ethics Researcher</c:v>
                </c:pt>
                <c:pt idx="3">
                  <c:v>AI Product Manager</c:v>
                </c:pt>
                <c:pt idx="4">
                  <c:v>AI Research Scientist</c:v>
                </c:pt>
                <c:pt idx="5">
                  <c:v>AI/ML Architect</c:v>
                </c:pt>
                <c:pt idx="6">
                  <c:v>Computer Vision Engineer</c:v>
                </c:pt>
                <c:pt idx="7">
                  <c:v>Data Scientist</c:v>
                </c:pt>
                <c:pt idx="8">
                  <c:v>Deep Learning Engineer</c:v>
                </c:pt>
                <c:pt idx="9">
                  <c:v>LLM Fine-tune Specialist</c:v>
                </c:pt>
                <c:pt idx="10">
                  <c:v>ML Engineer</c:v>
                </c:pt>
                <c:pt idx="11">
                  <c:v>MLOps Engineer</c:v>
                </c:pt>
                <c:pt idx="12">
                  <c:v>NLP Engineer</c:v>
                </c:pt>
                <c:pt idx="13">
                  <c:v>Prompt Engineer</c:v>
                </c:pt>
                <c:pt idx="14">
                  <c:v>Robotics AI Engineer</c:v>
                </c:pt>
              </c:strCache>
            </c:strRef>
          </c:cat>
          <c:val>
            <c:numRef>
              <c:f>'Avg salary by Role'!$B$4:$B$19</c:f>
              <c:numCache>
                <c:formatCode>General</c:formatCode>
                <c:ptCount val="15"/>
                <c:pt idx="0">
                  <c:v>104062.5</c:v>
                </c:pt>
                <c:pt idx="1">
                  <c:v>148250</c:v>
                </c:pt>
                <c:pt idx="2">
                  <c:v>131090.90909090909</c:v>
                </c:pt>
                <c:pt idx="3">
                  <c:v>180833.33333333334</c:v>
                </c:pt>
                <c:pt idx="4">
                  <c:v>186250</c:v>
                </c:pt>
                <c:pt idx="5">
                  <c:v>209500</c:v>
                </c:pt>
                <c:pt idx="6">
                  <c:v>167100</c:v>
                </c:pt>
                <c:pt idx="7">
                  <c:v>123272.72727272728</c:v>
                </c:pt>
                <c:pt idx="8">
                  <c:v>177071.42857142858</c:v>
                </c:pt>
                <c:pt idx="9">
                  <c:v>151692.30769230769</c:v>
                </c:pt>
                <c:pt idx="10">
                  <c:v>165090.90909090909</c:v>
                </c:pt>
                <c:pt idx="11">
                  <c:v>139727.27272727274</c:v>
                </c:pt>
                <c:pt idx="12">
                  <c:v>158555.55555555556</c:v>
                </c:pt>
                <c:pt idx="13">
                  <c:v>150000</c:v>
                </c:pt>
                <c:pt idx="14">
                  <c:v>143833.33333333334</c:v>
                </c:pt>
              </c:numCache>
            </c:numRef>
          </c:val>
          <c:extLst>
            <c:ext xmlns:c16="http://schemas.microsoft.com/office/drawing/2014/chart" uri="{C3380CC4-5D6E-409C-BE32-E72D297353CC}">
              <c16:uniqueId val="{00000000-AC53-4806-9B59-8A999CB6E820}"/>
            </c:ext>
          </c:extLst>
        </c:ser>
        <c:dLbls>
          <c:dLblPos val="inEnd"/>
          <c:showLegendKey val="0"/>
          <c:showVal val="1"/>
          <c:showCatName val="0"/>
          <c:showSerName val="0"/>
          <c:showPercent val="0"/>
          <c:showBubbleSize val="0"/>
        </c:dLbls>
        <c:gapWidth val="115"/>
        <c:overlap val="-20"/>
        <c:axId val="2057717167"/>
        <c:axId val="2057714255"/>
      </c:barChart>
      <c:catAx>
        <c:axId val="205771716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57714255"/>
        <c:crosses val="autoZero"/>
        <c:auto val="1"/>
        <c:lblAlgn val="ctr"/>
        <c:lblOffset val="100"/>
        <c:noMultiLvlLbl val="0"/>
      </c:catAx>
      <c:valAx>
        <c:axId val="2057714255"/>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577171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 job market analytics dashboard.xlsx]Top hiring sectors!PivotTable5</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0" i="0" u="none" strike="noStrike" baseline="0">
                <a:effectLst/>
              </a:rPr>
              <a:t>Top hiring sectors</a:t>
            </a:r>
            <a:endParaRPr lang="en-US"/>
          </a:p>
        </c:rich>
      </c:tx>
      <c:overlay val="0"/>
      <c:spPr>
        <a:noFill/>
        <a:ln>
          <a:solidFill>
            <a:schemeClr val="bg1"/>
          </a:solid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hiring sectors'!$B$3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'Top hiring sectors'!$A$4:$A$19</c:f>
              <c:strCache>
                <c:ptCount val="15"/>
                <c:pt idx="0">
                  <c:v>AI Analyst</c:v>
                </c:pt>
                <c:pt idx="1">
                  <c:v>AI Engineer</c:v>
                </c:pt>
                <c:pt idx="2">
                  <c:v>AI Ethics Researcher</c:v>
                </c:pt>
                <c:pt idx="3">
                  <c:v>AI Product Manager</c:v>
                </c:pt>
                <c:pt idx="4">
                  <c:v>AI Research Scientist</c:v>
                </c:pt>
                <c:pt idx="5">
                  <c:v>AI/ML Architect</c:v>
                </c:pt>
                <c:pt idx="6">
                  <c:v>Computer Vision Engineer</c:v>
                </c:pt>
                <c:pt idx="7">
                  <c:v>Data Scientist</c:v>
                </c:pt>
                <c:pt idx="8">
                  <c:v>Deep Learning Engineer</c:v>
                </c:pt>
                <c:pt idx="9">
                  <c:v>LLM Fine-tune Specialist</c:v>
                </c:pt>
                <c:pt idx="10">
                  <c:v>ML Engineer</c:v>
                </c:pt>
                <c:pt idx="11">
                  <c:v>MLOps Engineer</c:v>
                </c:pt>
                <c:pt idx="12">
                  <c:v>NLP Engineer</c:v>
                </c:pt>
                <c:pt idx="13">
                  <c:v>Prompt Engineer</c:v>
                </c:pt>
                <c:pt idx="14">
                  <c:v>Robotics AI Engineer</c:v>
                </c:pt>
              </c:strCache>
            </c:strRef>
          </c:cat>
          <c:val>
            <c:numRef>
              <c:f>'Top hiring sectors'!$B$4:$B$19</c:f>
              <c:numCache>
                <c:formatCode>General</c:formatCode>
                <c:ptCount val="15"/>
                <c:pt idx="0">
                  <c:v>16</c:v>
                </c:pt>
                <c:pt idx="1">
                  <c:v>8</c:v>
                </c:pt>
                <c:pt idx="2">
                  <c:v>11</c:v>
                </c:pt>
                <c:pt idx="3">
                  <c:v>18</c:v>
                </c:pt>
                <c:pt idx="4">
                  <c:v>20</c:v>
                </c:pt>
                <c:pt idx="5">
                  <c:v>16</c:v>
                </c:pt>
                <c:pt idx="6">
                  <c:v>10</c:v>
                </c:pt>
                <c:pt idx="7">
                  <c:v>11</c:v>
                </c:pt>
                <c:pt idx="8">
                  <c:v>14</c:v>
                </c:pt>
                <c:pt idx="9">
                  <c:v>13</c:v>
                </c:pt>
                <c:pt idx="10">
                  <c:v>11</c:v>
                </c:pt>
                <c:pt idx="11">
                  <c:v>22</c:v>
                </c:pt>
                <c:pt idx="12">
                  <c:v>9</c:v>
                </c:pt>
                <c:pt idx="13">
                  <c:v>9</c:v>
                </c:pt>
                <c:pt idx="14">
                  <c:v>12</c:v>
                </c:pt>
              </c:numCache>
            </c:numRef>
          </c:val>
          <c:extLst>
            <c:ext xmlns:c16="http://schemas.microsoft.com/office/drawing/2014/chart" uri="{C3380CC4-5D6E-409C-BE32-E72D297353CC}">
              <c16:uniqueId val="{00000000-FC98-43D4-983F-55E57AAB88E4}"/>
            </c:ext>
          </c:extLst>
        </c:ser>
        <c:dLbls>
          <c:showLegendKey val="0"/>
          <c:showVal val="0"/>
          <c:showCatName val="0"/>
          <c:showSerName val="0"/>
          <c:showPercent val="0"/>
          <c:showBubbleSize val="0"/>
        </c:dLbls>
        <c:gapWidth val="100"/>
        <c:overlap val="-24"/>
        <c:axId val="2143808447"/>
        <c:axId val="2143805951"/>
      </c:barChart>
      <c:catAx>
        <c:axId val="214380844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43805951"/>
        <c:crosses val="autoZero"/>
        <c:auto val="1"/>
        <c:lblAlgn val="ctr"/>
        <c:lblOffset val="100"/>
        <c:noMultiLvlLbl val="0"/>
      </c:catAx>
      <c:valAx>
        <c:axId val="214380595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438084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 job market analytics dashboard.xlsx]Sheet1!PivotTable1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baseline="0">
                <a:effectLst>
                  <a:outerShdw blurRad="50800" dist="38100" dir="5400000" algn="t" rotWithShape="0">
                    <a:prstClr val="black">
                      <a:alpha val="40000"/>
                    </a:prstClr>
                  </a:outerShdw>
                </a:effectLst>
              </a:rPr>
              <a:t>Company vs Experience </a:t>
            </a:r>
            <a:endParaRPr lang="en-US"/>
          </a:p>
        </c:rich>
      </c:tx>
      <c:overlay val="0"/>
      <c:spPr>
        <a:noFill/>
        <a:ln>
          <a:solidFill>
            <a:schemeClr val="bg1"/>
          </a:solid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Sheet1!$A$4:$A$34</c:f>
              <c:strCache>
                <c:ptCount val="30"/>
                <c:pt idx="0">
                  <c:v>Adobe</c:v>
                </c:pt>
                <c:pt idx="1">
                  <c:v>Amazon</c:v>
                </c:pt>
                <c:pt idx="2">
                  <c:v>Anthropic</c:v>
                </c:pt>
                <c:pt idx="3">
                  <c:v>Apple</c:v>
                </c:pt>
                <c:pt idx="4">
                  <c:v>C3.ai</c:v>
                </c:pt>
                <c:pt idx="5">
                  <c:v>Cohere</c:v>
                </c:pt>
                <c:pt idx="6">
                  <c:v>Cruise</c:v>
                </c:pt>
                <c:pt idx="7">
                  <c:v>Databricks</c:v>
                </c:pt>
                <c:pt idx="8">
                  <c:v>DataRobot</c:v>
                </c:pt>
                <c:pt idx="9">
                  <c:v>Google DeepMind</c:v>
                </c:pt>
                <c:pt idx="10">
                  <c:v>H2O.ai</c:v>
                </c:pt>
                <c:pt idx="11">
                  <c:v>Hugging Face</c:v>
                </c:pt>
                <c:pt idx="12">
                  <c:v>IBM</c:v>
                </c:pt>
                <c:pt idx="13">
                  <c:v>Inflection AI</c:v>
                </c:pt>
                <c:pt idx="14">
                  <c:v>Meta AI</c:v>
                </c:pt>
                <c:pt idx="15">
                  <c:v>Microsoft</c:v>
                </c:pt>
                <c:pt idx="16">
                  <c:v>Mistral AI</c:v>
                </c:pt>
                <c:pt idx="17">
                  <c:v>Nvidia</c:v>
                </c:pt>
                <c:pt idx="18">
                  <c:v>OpenAI</c:v>
                </c:pt>
                <c:pt idx="19">
                  <c:v>Oracle</c:v>
                </c:pt>
                <c:pt idx="20">
                  <c:v>Palantir</c:v>
                </c:pt>
                <c:pt idx="21">
                  <c:v>Pinecone</c:v>
                </c:pt>
                <c:pt idx="22">
                  <c:v>Salesforce</c:v>
                </c:pt>
                <c:pt idx="23">
                  <c:v>SAP</c:v>
                </c:pt>
                <c:pt idx="24">
                  <c:v>Scale AI</c:v>
                </c:pt>
                <c:pt idx="25">
                  <c:v>Stability AI</c:v>
                </c:pt>
                <c:pt idx="26">
                  <c:v>Tesla</c:v>
                </c:pt>
                <c:pt idx="27">
                  <c:v>Waymo</c:v>
                </c:pt>
                <c:pt idx="28">
                  <c:v>Weaviate</c:v>
                </c:pt>
                <c:pt idx="29">
                  <c:v>Weights &amp; Biases</c:v>
                </c:pt>
              </c:strCache>
            </c:strRef>
          </c:cat>
          <c:val>
            <c:numRef>
              <c:f>Sheet1!$B$4:$B$34</c:f>
              <c:numCache>
                <c:formatCode>General</c:formatCode>
                <c:ptCount val="30"/>
                <c:pt idx="0">
                  <c:v>5</c:v>
                </c:pt>
                <c:pt idx="1">
                  <c:v>7</c:v>
                </c:pt>
                <c:pt idx="2">
                  <c:v>5</c:v>
                </c:pt>
                <c:pt idx="3">
                  <c:v>5</c:v>
                </c:pt>
                <c:pt idx="4">
                  <c:v>7</c:v>
                </c:pt>
                <c:pt idx="5">
                  <c:v>13</c:v>
                </c:pt>
                <c:pt idx="6">
                  <c:v>6</c:v>
                </c:pt>
                <c:pt idx="7">
                  <c:v>8</c:v>
                </c:pt>
                <c:pt idx="8">
                  <c:v>3</c:v>
                </c:pt>
                <c:pt idx="9">
                  <c:v>8</c:v>
                </c:pt>
                <c:pt idx="10">
                  <c:v>3</c:v>
                </c:pt>
                <c:pt idx="11">
                  <c:v>8</c:v>
                </c:pt>
                <c:pt idx="12">
                  <c:v>7</c:v>
                </c:pt>
                <c:pt idx="13">
                  <c:v>4</c:v>
                </c:pt>
                <c:pt idx="14">
                  <c:v>6</c:v>
                </c:pt>
                <c:pt idx="15">
                  <c:v>5</c:v>
                </c:pt>
                <c:pt idx="16">
                  <c:v>5</c:v>
                </c:pt>
                <c:pt idx="17">
                  <c:v>11</c:v>
                </c:pt>
                <c:pt idx="18">
                  <c:v>5</c:v>
                </c:pt>
                <c:pt idx="19">
                  <c:v>13</c:v>
                </c:pt>
                <c:pt idx="20">
                  <c:v>7</c:v>
                </c:pt>
                <c:pt idx="21">
                  <c:v>2</c:v>
                </c:pt>
                <c:pt idx="22">
                  <c:v>7</c:v>
                </c:pt>
                <c:pt idx="23">
                  <c:v>10</c:v>
                </c:pt>
                <c:pt idx="24">
                  <c:v>5</c:v>
                </c:pt>
                <c:pt idx="25">
                  <c:v>9</c:v>
                </c:pt>
                <c:pt idx="26">
                  <c:v>6</c:v>
                </c:pt>
                <c:pt idx="27">
                  <c:v>10</c:v>
                </c:pt>
                <c:pt idx="28">
                  <c:v>5</c:v>
                </c:pt>
                <c:pt idx="29">
                  <c:v>5</c:v>
                </c:pt>
              </c:numCache>
            </c:numRef>
          </c:val>
          <c:extLst>
            <c:ext xmlns:c16="http://schemas.microsoft.com/office/drawing/2014/chart" uri="{C3380CC4-5D6E-409C-BE32-E72D297353CC}">
              <c16:uniqueId val="{00000004-595E-4191-8AFE-9E900A7B136F}"/>
            </c:ext>
          </c:extLst>
        </c:ser>
        <c:dLbls>
          <c:dLblPos val="ctr"/>
          <c:showLegendKey val="0"/>
          <c:showVal val="1"/>
          <c:showCatName val="0"/>
          <c:showSerName val="0"/>
          <c:showPercent val="0"/>
          <c:showBubbleSize val="0"/>
        </c:dLbls>
        <c:gapWidth val="150"/>
        <c:axId val="2071509247"/>
        <c:axId val="2071500511"/>
      </c:barChart>
      <c:catAx>
        <c:axId val="207150924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71500511"/>
        <c:crosses val="autoZero"/>
        <c:auto val="1"/>
        <c:lblAlgn val="ctr"/>
        <c:lblOffset val="100"/>
        <c:noMultiLvlLbl val="0"/>
      </c:catAx>
      <c:valAx>
        <c:axId val="207150051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71509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9.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149087</xdr:colOff>
      <xdr:row>0</xdr:row>
      <xdr:rowOff>30480</xdr:rowOff>
    </xdr:from>
    <xdr:to>
      <xdr:col>21</xdr:col>
      <xdr:colOff>20502</xdr:colOff>
      <xdr:row>2</xdr:row>
      <xdr:rowOff>22860</xdr:rowOff>
    </xdr:to>
    <xdr:sp macro="" textlink="">
      <xdr:nvSpPr>
        <xdr:cNvPr id="2" name="TextBox 1">
          <a:extLst>
            <a:ext uri="{FF2B5EF4-FFF2-40B4-BE49-F238E27FC236}">
              <a16:creationId xmlns:a16="http://schemas.microsoft.com/office/drawing/2014/main" id="{BB2F753F-4C6A-4B54-A1E4-231886772C0A}"/>
            </a:ext>
          </a:extLst>
        </xdr:cNvPr>
        <xdr:cNvSpPr txBox="1"/>
      </xdr:nvSpPr>
      <xdr:spPr>
        <a:xfrm>
          <a:off x="149087" y="30480"/>
          <a:ext cx="12644312" cy="361420"/>
        </a:xfrm>
        <a:prstGeom prst="rect">
          <a:avLst/>
        </a:prstGeom>
        <a:solidFill>
          <a:schemeClr val="accent5">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latin typeface="Times New Roman" panose="02020603050405020304" pitchFamily="18" charset="0"/>
              <a:cs typeface="Times New Roman" panose="02020603050405020304" pitchFamily="18" charset="0"/>
            </a:rPr>
            <a:t>AI Job Market Analytics Dashboard</a:t>
          </a:r>
        </a:p>
      </xdr:txBody>
    </xdr:sp>
    <xdr:clientData/>
  </xdr:twoCellAnchor>
  <xdr:twoCellAnchor>
    <xdr:from>
      <xdr:col>0</xdr:col>
      <xdr:colOff>149086</xdr:colOff>
      <xdr:row>2</xdr:row>
      <xdr:rowOff>45719</xdr:rowOff>
    </xdr:from>
    <xdr:to>
      <xdr:col>21</xdr:col>
      <xdr:colOff>23567</xdr:colOff>
      <xdr:row>30</xdr:row>
      <xdr:rowOff>16386</xdr:rowOff>
    </xdr:to>
    <xdr:sp macro="" textlink="">
      <xdr:nvSpPr>
        <xdr:cNvPr id="3" name="TextBox 2">
          <a:extLst>
            <a:ext uri="{FF2B5EF4-FFF2-40B4-BE49-F238E27FC236}">
              <a16:creationId xmlns:a16="http://schemas.microsoft.com/office/drawing/2014/main" id="{EE4A3D37-107D-4B37-82DF-BCA4E6674C69}"/>
            </a:ext>
          </a:extLst>
        </xdr:cNvPr>
        <xdr:cNvSpPr txBox="1"/>
      </xdr:nvSpPr>
      <xdr:spPr>
        <a:xfrm>
          <a:off x="149086" y="407080"/>
          <a:ext cx="12742069" cy="5029718"/>
        </a:xfrm>
        <a:prstGeom prst="rect">
          <a:avLst/>
        </a:prstGeom>
        <a:solidFill>
          <a:schemeClr val="accent6">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12</xdr:col>
      <xdr:colOff>346653</xdr:colOff>
      <xdr:row>15</xdr:row>
      <xdr:rowOff>72446</xdr:rowOff>
    </xdr:from>
    <xdr:to>
      <xdr:col>20</xdr:col>
      <xdr:colOff>591403</xdr:colOff>
      <xdr:row>29</xdr:row>
      <xdr:rowOff>147484</xdr:rowOff>
    </xdr:to>
    <xdr:graphicFrame macro="">
      <xdr:nvGraphicFramePr>
        <xdr:cNvPr id="4" name="Chart 3">
          <a:extLst>
            <a:ext uri="{FF2B5EF4-FFF2-40B4-BE49-F238E27FC236}">
              <a16:creationId xmlns:a16="http://schemas.microsoft.com/office/drawing/2014/main" id="{B4CEEB64-8561-4420-9E64-32FF4DFB29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474134</xdr:colOff>
      <xdr:row>2</xdr:row>
      <xdr:rowOff>93134</xdr:rowOff>
    </xdr:from>
    <xdr:to>
      <xdr:col>8</xdr:col>
      <xdr:colOff>541868</xdr:colOff>
      <xdr:row>15</xdr:row>
      <xdr:rowOff>37722</xdr:rowOff>
    </xdr:to>
    <xdr:graphicFrame macro="">
      <xdr:nvGraphicFramePr>
        <xdr:cNvPr id="5" name="Chart 4">
          <a:extLst>
            <a:ext uri="{FF2B5EF4-FFF2-40B4-BE49-F238E27FC236}">
              <a16:creationId xmlns:a16="http://schemas.microsoft.com/office/drawing/2014/main" id="{96F6338F-343E-4FB7-8C3B-4C1B50D5A3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467032</xdr:colOff>
      <xdr:row>15</xdr:row>
      <xdr:rowOff>75444</xdr:rowOff>
    </xdr:from>
    <xdr:to>
      <xdr:col>12</xdr:col>
      <xdr:colOff>309327</xdr:colOff>
      <xdr:row>29</xdr:row>
      <xdr:rowOff>144000</xdr:rowOff>
    </xdr:to>
    <xdr:graphicFrame macro="">
      <xdr:nvGraphicFramePr>
        <xdr:cNvPr id="6" name="Chart 5">
          <a:extLst>
            <a:ext uri="{FF2B5EF4-FFF2-40B4-BE49-F238E27FC236}">
              <a16:creationId xmlns:a16="http://schemas.microsoft.com/office/drawing/2014/main" id="{C652AE75-3221-4D5D-AD5A-F193F1A6FA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571500</xdr:colOff>
      <xdr:row>2</xdr:row>
      <xdr:rowOff>106680</xdr:rowOff>
    </xdr:from>
    <xdr:to>
      <xdr:col>20</xdr:col>
      <xdr:colOff>601980</xdr:colOff>
      <xdr:row>15</xdr:row>
      <xdr:rowOff>37722</xdr:rowOff>
    </xdr:to>
    <xdr:graphicFrame macro="">
      <xdr:nvGraphicFramePr>
        <xdr:cNvPr id="7" name="Chart 6">
          <a:extLst>
            <a:ext uri="{FF2B5EF4-FFF2-40B4-BE49-F238E27FC236}">
              <a16:creationId xmlns:a16="http://schemas.microsoft.com/office/drawing/2014/main" id="{5D3BD027-6202-402B-B639-3A20FB13F1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575733</xdr:colOff>
      <xdr:row>2</xdr:row>
      <xdr:rowOff>99908</xdr:rowOff>
    </xdr:from>
    <xdr:to>
      <xdr:col>14</xdr:col>
      <xdr:colOff>533400</xdr:colOff>
      <xdr:row>15</xdr:row>
      <xdr:rowOff>46568</xdr:rowOff>
    </xdr:to>
    <xdr:graphicFrame macro="">
      <xdr:nvGraphicFramePr>
        <xdr:cNvPr id="8" name="Chart 7">
          <a:extLst>
            <a:ext uri="{FF2B5EF4-FFF2-40B4-BE49-F238E27FC236}">
              <a16:creationId xmlns:a16="http://schemas.microsoft.com/office/drawing/2014/main" id="{F66B5352-0A52-49F3-B5E4-9B8DAEBF5C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190068</xdr:colOff>
      <xdr:row>8</xdr:row>
      <xdr:rowOff>1619</xdr:rowOff>
    </xdr:from>
    <xdr:to>
      <xdr:col>2</xdr:col>
      <xdr:colOff>402000</xdr:colOff>
      <xdr:row>10</xdr:row>
      <xdr:rowOff>143704</xdr:rowOff>
    </xdr:to>
    <xdr:sp macro="" textlink="KPI!F32">
      <xdr:nvSpPr>
        <xdr:cNvPr id="12" name="TextBox 11">
          <a:extLst>
            <a:ext uri="{FF2B5EF4-FFF2-40B4-BE49-F238E27FC236}">
              <a16:creationId xmlns:a16="http://schemas.microsoft.com/office/drawing/2014/main" id="{9633BCBA-0C03-42DC-9732-1434F386DA00}"/>
            </a:ext>
          </a:extLst>
        </xdr:cNvPr>
        <xdr:cNvSpPr txBox="1"/>
      </xdr:nvSpPr>
      <xdr:spPr>
        <a:xfrm>
          <a:off x="190068" y="1441619"/>
          <a:ext cx="1435932" cy="502085"/>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fld id="{9389A5DF-1510-4158-B718-C1784D6570F6}" type="TxLink">
            <a:rPr lang="en-US" sz="1100" b="0" i="0" u="none" strike="noStrike">
              <a:solidFill>
                <a:srgbClr val="000000"/>
              </a:solidFill>
              <a:latin typeface="Calibri"/>
              <a:ea typeface="Calibri"/>
              <a:cs typeface="Calibri"/>
            </a:rPr>
            <a:t>26</a:t>
          </a:fld>
          <a:endParaRPr lang="en-US" sz="1100" b="0"/>
        </a:p>
      </xdr:txBody>
    </xdr:sp>
    <xdr:clientData/>
  </xdr:twoCellAnchor>
  <xdr:twoCellAnchor>
    <xdr:from>
      <xdr:col>0</xdr:col>
      <xdr:colOff>186782</xdr:colOff>
      <xdr:row>2</xdr:row>
      <xdr:rowOff>72800</xdr:rowOff>
    </xdr:from>
    <xdr:to>
      <xdr:col>2</xdr:col>
      <xdr:colOff>408000</xdr:colOff>
      <xdr:row>4</xdr:row>
      <xdr:rowOff>174666</xdr:rowOff>
    </xdr:to>
    <xdr:sp macro="" textlink="KPI!E49">
      <xdr:nvSpPr>
        <xdr:cNvPr id="14" name="TextBox 13">
          <a:extLst>
            <a:ext uri="{FF2B5EF4-FFF2-40B4-BE49-F238E27FC236}">
              <a16:creationId xmlns:a16="http://schemas.microsoft.com/office/drawing/2014/main" id="{887D34FC-F827-4A51-96A5-6167859BC015}"/>
            </a:ext>
          </a:extLst>
        </xdr:cNvPr>
        <xdr:cNvSpPr txBox="1"/>
      </xdr:nvSpPr>
      <xdr:spPr>
        <a:xfrm>
          <a:off x="186782" y="432800"/>
          <a:ext cx="1445218" cy="461866"/>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fld id="{02C44A94-9E99-4479-866E-C58AAB8D4600}" type="TxLink">
            <a:rPr lang="en-US" sz="1100" b="0" i="0" u="none" strike="noStrike">
              <a:solidFill>
                <a:srgbClr val="000000"/>
              </a:solidFill>
              <a:effectLst/>
              <a:latin typeface="Calibri"/>
              <a:ea typeface="Calibri"/>
              <a:cs typeface="Calibri"/>
            </a:rPr>
            <a:t>54</a:t>
          </a:fld>
          <a:endParaRPr lang="en-US">
            <a:effectLst/>
          </a:endParaRPr>
        </a:p>
      </xdr:txBody>
    </xdr:sp>
    <xdr:clientData/>
  </xdr:twoCellAnchor>
  <xdr:twoCellAnchor>
    <xdr:from>
      <xdr:col>0</xdr:col>
      <xdr:colOff>187906</xdr:colOff>
      <xdr:row>5</xdr:row>
      <xdr:rowOff>35643</xdr:rowOff>
    </xdr:from>
    <xdr:to>
      <xdr:col>2</xdr:col>
      <xdr:colOff>402000</xdr:colOff>
      <xdr:row>7</xdr:row>
      <xdr:rowOff>146716</xdr:rowOff>
    </xdr:to>
    <xdr:sp macro="" textlink="KPI!F11">
      <xdr:nvSpPr>
        <xdr:cNvPr id="15" name="TextBox 14">
          <a:extLst>
            <a:ext uri="{FF2B5EF4-FFF2-40B4-BE49-F238E27FC236}">
              <a16:creationId xmlns:a16="http://schemas.microsoft.com/office/drawing/2014/main" id="{F85DE0B5-81F2-44BC-AE80-3E29CDB25238}"/>
            </a:ext>
          </a:extLst>
        </xdr:cNvPr>
        <xdr:cNvSpPr txBox="1"/>
      </xdr:nvSpPr>
      <xdr:spPr>
        <a:xfrm>
          <a:off x="187906" y="935643"/>
          <a:ext cx="1438094" cy="471073"/>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lang="en-US" sz="1100">
            <a:solidFill>
              <a:schemeClr val="dk1"/>
            </a:solidFill>
            <a:effectLst/>
            <a:latin typeface="+mn-lt"/>
            <a:ea typeface="+mn-ea"/>
            <a:cs typeface="+mn-cs"/>
          </a:endParaRPr>
        </a:p>
      </xdr:txBody>
    </xdr:sp>
    <xdr:clientData/>
  </xdr:twoCellAnchor>
  <xdr:twoCellAnchor editAs="oneCell">
    <xdr:from>
      <xdr:col>0</xdr:col>
      <xdr:colOff>175637</xdr:colOff>
      <xdr:row>17</xdr:row>
      <xdr:rowOff>2010</xdr:rowOff>
    </xdr:from>
    <xdr:to>
      <xdr:col>2</xdr:col>
      <xdr:colOff>410518</xdr:colOff>
      <xdr:row>23</xdr:row>
      <xdr:rowOff>43630</xdr:rowOff>
    </xdr:to>
    <mc:AlternateContent xmlns:mc="http://schemas.openxmlformats.org/markup-compatibility/2006" xmlns:a14="http://schemas.microsoft.com/office/drawing/2010/main">
      <mc:Choice Requires="a14">
        <xdr:graphicFrame macro="">
          <xdr:nvGraphicFramePr>
            <xdr:cNvPr id="17" name="Job Title 1">
              <a:extLst>
                <a:ext uri="{FF2B5EF4-FFF2-40B4-BE49-F238E27FC236}">
                  <a16:creationId xmlns:a16="http://schemas.microsoft.com/office/drawing/2014/main" id="{69BE6CCD-C139-4A96-BF6B-2A850B8ADFAB}"/>
                </a:ext>
              </a:extLst>
            </xdr:cNvPr>
            <xdr:cNvGraphicFramePr/>
          </xdr:nvGraphicFramePr>
          <xdr:xfrm>
            <a:off x="0" y="0"/>
            <a:ext cx="0" cy="0"/>
          </xdr:xfrm>
          <a:graphic>
            <a:graphicData uri="http://schemas.microsoft.com/office/drawing/2010/slicer">
              <sle:slicer xmlns:sle="http://schemas.microsoft.com/office/drawing/2010/slicer" name="Job Title 1"/>
            </a:graphicData>
          </a:graphic>
        </xdr:graphicFrame>
      </mc:Choice>
      <mc:Fallback xmlns="">
        <xdr:sp macro="" textlink="">
          <xdr:nvSpPr>
            <xdr:cNvPr id="0" name=""/>
            <xdr:cNvSpPr>
              <a:spLocks noTextEdit="1"/>
            </xdr:cNvSpPr>
          </xdr:nvSpPr>
          <xdr:spPr>
            <a:xfrm>
              <a:off x="175637" y="3110970"/>
              <a:ext cx="1454081" cy="1138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180716</xdr:colOff>
      <xdr:row>23</xdr:row>
      <xdr:rowOff>72634</xdr:rowOff>
    </xdr:from>
    <xdr:to>
      <xdr:col>2</xdr:col>
      <xdr:colOff>408000</xdr:colOff>
      <xdr:row>29</xdr:row>
      <xdr:rowOff>154739</xdr:rowOff>
    </xdr:to>
    <mc:AlternateContent xmlns:mc="http://schemas.openxmlformats.org/markup-compatibility/2006" xmlns:a14="http://schemas.microsoft.com/office/drawing/2010/main">
      <mc:Choice Requires="a14">
        <xdr:graphicFrame macro="">
          <xdr:nvGraphicFramePr>
            <xdr:cNvPr id="18" name="Sector 1">
              <a:extLst>
                <a:ext uri="{FF2B5EF4-FFF2-40B4-BE49-F238E27FC236}">
                  <a16:creationId xmlns:a16="http://schemas.microsoft.com/office/drawing/2014/main" id="{B7072239-F433-466A-9F83-254DA66D8E70}"/>
                </a:ext>
              </a:extLst>
            </xdr:cNvPr>
            <xdr:cNvGraphicFramePr/>
          </xdr:nvGraphicFramePr>
          <xdr:xfrm>
            <a:off x="0" y="0"/>
            <a:ext cx="0" cy="0"/>
          </xdr:xfrm>
          <a:graphic>
            <a:graphicData uri="http://schemas.microsoft.com/office/drawing/2010/slicer">
              <sle:slicer xmlns:sle="http://schemas.microsoft.com/office/drawing/2010/slicer" name="Sector 1"/>
            </a:graphicData>
          </a:graphic>
        </xdr:graphicFrame>
      </mc:Choice>
      <mc:Fallback xmlns="">
        <xdr:sp macro="" textlink="">
          <xdr:nvSpPr>
            <xdr:cNvPr id="0" name=""/>
            <xdr:cNvSpPr>
              <a:spLocks noTextEdit="1"/>
            </xdr:cNvSpPr>
          </xdr:nvSpPr>
          <xdr:spPr>
            <a:xfrm>
              <a:off x="180716" y="4278874"/>
              <a:ext cx="1446484" cy="11793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196124</xdr:colOff>
      <xdr:row>10</xdr:row>
      <xdr:rowOff>173413</xdr:rowOff>
    </xdr:from>
    <xdr:to>
      <xdr:col>2</xdr:col>
      <xdr:colOff>404519</xdr:colOff>
      <xdr:row>16</xdr:row>
      <xdr:rowOff>162588</xdr:rowOff>
    </xdr:to>
    <mc:AlternateContent xmlns:mc="http://schemas.openxmlformats.org/markup-compatibility/2006" xmlns:a14="http://schemas.microsoft.com/office/drawing/2010/main">
      <mc:Choice Requires="a14">
        <xdr:graphicFrame macro="">
          <xdr:nvGraphicFramePr>
            <xdr:cNvPr id="19" name="Company 1">
              <a:extLst>
                <a:ext uri="{FF2B5EF4-FFF2-40B4-BE49-F238E27FC236}">
                  <a16:creationId xmlns:a16="http://schemas.microsoft.com/office/drawing/2014/main" id="{C6DCB66A-FBE9-44A0-9102-C1E803CDF797}"/>
                </a:ext>
              </a:extLst>
            </xdr:cNvPr>
            <xdr:cNvGraphicFramePr/>
          </xdr:nvGraphicFramePr>
          <xdr:xfrm>
            <a:off x="0" y="0"/>
            <a:ext cx="0" cy="0"/>
          </xdr:xfrm>
          <a:graphic>
            <a:graphicData uri="http://schemas.microsoft.com/office/drawing/2010/slicer">
              <sle:slicer xmlns:sle="http://schemas.microsoft.com/office/drawing/2010/slicer" name="Company 1"/>
            </a:graphicData>
          </a:graphic>
        </xdr:graphicFrame>
      </mc:Choice>
      <mc:Fallback xmlns="">
        <xdr:sp macro="" textlink="">
          <xdr:nvSpPr>
            <xdr:cNvPr id="0" name=""/>
            <xdr:cNvSpPr>
              <a:spLocks noTextEdit="1"/>
            </xdr:cNvSpPr>
          </xdr:nvSpPr>
          <xdr:spPr>
            <a:xfrm>
              <a:off x="196124" y="2012723"/>
              <a:ext cx="1434602" cy="109276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468392</xdr:colOff>
      <xdr:row>2</xdr:row>
      <xdr:rowOff>51800</xdr:rowOff>
    </xdr:from>
    <xdr:to>
      <xdr:col>2</xdr:col>
      <xdr:colOff>157370</xdr:colOff>
      <xdr:row>3</xdr:row>
      <xdr:rowOff>49696</xdr:rowOff>
    </xdr:to>
    <xdr:sp macro="" textlink="">
      <xdr:nvSpPr>
        <xdr:cNvPr id="21" name="TextBox 20">
          <a:extLst>
            <a:ext uri="{FF2B5EF4-FFF2-40B4-BE49-F238E27FC236}">
              <a16:creationId xmlns:a16="http://schemas.microsoft.com/office/drawing/2014/main" id="{E5614530-AF0D-47E0-8C6B-52F4B01C04E3}"/>
            </a:ext>
          </a:extLst>
        </xdr:cNvPr>
        <xdr:cNvSpPr txBox="1"/>
      </xdr:nvSpPr>
      <xdr:spPr>
        <a:xfrm>
          <a:off x="468392" y="416235"/>
          <a:ext cx="914804" cy="180113"/>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800" b="1" i="0" u="none" strike="noStrike">
              <a:solidFill>
                <a:schemeClr val="dk1"/>
              </a:solidFill>
              <a:effectLst/>
              <a:latin typeface="+mn-lt"/>
              <a:ea typeface="+mn-ea"/>
              <a:cs typeface="+mn-cs"/>
            </a:rPr>
            <a:t>✅ Top company </a:t>
          </a:r>
          <a:r>
            <a:rPr lang="en-US" sz="800"/>
            <a:t> </a:t>
          </a:r>
        </a:p>
      </xdr:txBody>
    </xdr:sp>
    <xdr:clientData/>
  </xdr:twoCellAnchor>
  <xdr:twoCellAnchor>
    <xdr:from>
      <xdr:col>0</xdr:col>
      <xdr:colOff>430697</xdr:colOff>
      <xdr:row>7</xdr:row>
      <xdr:rowOff>157369</xdr:rowOff>
    </xdr:from>
    <xdr:to>
      <xdr:col>2</xdr:col>
      <xdr:colOff>347870</xdr:colOff>
      <xdr:row>8</xdr:row>
      <xdr:rowOff>173935</xdr:rowOff>
    </xdr:to>
    <xdr:sp macro="" textlink="">
      <xdr:nvSpPr>
        <xdr:cNvPr id="22" name="TextBox 21">
          <a:extLst>
            <a:ext uri="{FF2B5EF4-FFF2-40B4-BE49-F238E27FC236}">
              <a16:creationId xmlns:a16="http://schemas.microsoft.com/office/drawing/2014/main" id="{10B86C6E-DA55-4E13-97F8-E56E363A53F1}"/>
            </a:ext>
          </a:extLst>
        </xdr:cNvPr>
        <xdr:cNvSpPr txBox="1"/>
      </xdr:nvSpPr>
      <xdr:spPr>
        <a:xfrm>
          <a:off x="430697" y="1432891"/>
          <a:ext cx="1142999" cy="198783"/>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800" b="1">
              <a:solidFill>
                <a:schemeClr val="dk1"/>
              </a:solidFill>
              <a:effectLst/>
              <a:latin typeface="+mn-lt"/>
              <a:ea typeface="+mn-ea"/>
              <a:cs typeface="+mn-cs"/>
            </a:rPr>
            <a:t>📈 Top Hiring </a:t>
          </a:r>
          <a:r>
            <a:rPr lang="en-US" sz="900" b="1">
              <a:solidFill>
                <a:schemeClr val="dk1"/>
              </a:solidFill>
              <a:effectLst/>
              <a:latin typeface="+mn-lt"/>
              <a:ea typeface="+mn-ea"/>
              <a:cs typeface="+mn-cs"/>
            </a:rPr>
            <a:t>Sector</a:t>
          </a:r>
          <a:endParaRPr lang="en-US" sz="800" b="1">
            <a:effectLst/>
          </a:endParaRPr>
        </a:p>
        <a:p>
          <a:r>
            <a:rPr lang="en-US" sz="800" b="1" i="0" u="none" strike="noStrike">
              <a:solidFill>
                <a:schemeClr val="dk1"/>
              </a:solidFill>
              <a:effectLst/>
              <a:latin typeface="+mn-lt"/>
              <a:ea typeface="+mn-ea"/>
              <a:cs typeface="+mn-cs"/>
            </a:rPr>
            <a:t> </a:t>
          </a:r>
          <a:r>
            <a:rPr lang="en-US" sz="800" b="1"/>
            <a:t> </a:t>
          </a:r>
        </a:p>
      </xdr:txBody>
    </xdr:sp>
    <xdr:clientData/>
  </xdr:twoCellAnchor>
  <xdr:twoCellAnchor>
    <xdr:from>
      <xdr:col>0</xdr:col>
      <xdr:colOff>187906</xdr:colOff>
      <xdr:row>5</xdr:row>
      <xdr:rowOff>24556</xdr:rowOff>
    </xdr:from>
    <xdr:to>
      <xdr:col>2</xdr:col>
      <xdr:colOff>402000</xdr:colOff>
      <xdr:row>7</xdr:row>
      <xdr:rowOff>135629</xdr:rowOff>
    </xdr:to>
    <xdr:sp macro="" textlink="KPI!$F$11">
      <xdr:nvSpPr>
        <xdr:cNvPr id="23" name="TextBox 22">
          <a:extLst>
            <a:ext uri="{FF2B5EF4-FFF2-40B4-BE49-F238E27FC236}">
              <a16:creationId xmlns:a16="http://schemas.microsoft.com/office/drawing/2014/main" id="{1DE149BD-717C-424E-BE27-C70C4EE2221D}"/>
            </a:ext>
          </a:extLst>
        </xdr:cNvPr>
        <xdr:cNvSpPr txBox="1"/>
      </xdr:nvSpPr>
      <xdr:spPr>
        <a:xfrm>
          <a:off x="187906" y="935643"/>
          <a:ext cx="1439920" cy="475508"/>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fld id="{AF81097C-42F2-4649-9D8D-E6852F972E09}" type="TxLink">
            <a:rPr lang="en-US" sz="1100" b="0" i="0" u="none" strike="noStrike">
              <a:solidFill>
                <a:srgbClr val="000000"/>
              </a:solidFill>
              <a:effectLst/>
              <a:latin typeface="Calibri"/>
              <a:ea typeface="Calibri"/>
              <a:cs typeface="Calibri"/>
            </a:rPr>
            <a:t>1,665,000</a:t>
          </a:fld>
          <a:endParaRPr lang="en-US" sz="1100">
            <a:solidFill>
              <a:schemeClr val="dk1"/>
            </a:solidFill>
            <a:effectLst/>
            <a:latin typeface="+mn-lt"/>
            <a:ea typeface="+mn-ea"/>
            <a:cs typeface="+mn-cs"/>
          </a:endParaRPr>
        </a:p>
      </xdr:txBody>
    </xdr:sp>
    <xdr:clientData/>
  </xdr:twoCellAnchor>
  <xdr:twoCellAnchor>
    <xdr:from>
      <xdr:col>0</xdr:col>
      <xdr:colOff>494362</xdr:colOff>
      <xdr:row>4</xdr:row>
      <xdr:rowOff>173642</xdr:rowOff>
    </xdr:from>
    <xdr:to>
      <xdr:col>2</xdr:col>
      <xdr:colOff>74543</xdr:colOff>
      <xdr:row>6</xdr:row>
      <xdr:rowOff>1</xdr:rowOff>
    </xdr:to>
    <xdr:sp macro="" textlink="">
      <xdr:nvSpPr>
        <xdr:cNvPr id="26" name="TextBox 25">
          <a:extLst>
            <a:ext uri="{FF2B5EF4-FFF2-40B4-BE49-F238E27FC236}">
              <a16:creationId xmlns:a16="http://schemas.microsoft.com/office/drawing/2014/main" id="{E03763FA-99E9-4179-86B2-783DF1BB643E}"/>
            </a:ext>
          </a:extLst>
        </xdr:cNvPr>
        <xdr:cNvSpPr txBox="1"/>
      </xdr:nvSpPr>
      <xdr:spPr>
        <a:xfrm>
          <a:off x="494362" y="902512"/>
          <a:ext cx="806007" cy="190793"/>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b="1" i="0" u="none" strike="noStrike">
              <a:solidFill>
                <a:schemeClr val="dk1"/>
              </a:solidFill>
              <a:effectLst/>
              <a:latin typeface="+mn-lt"/>
              <a:ea typeface="+mn-ea"/>
              <a:cs typeface="+mn-cs"/>
            </a:rPr>
            <a:t>💰 Avg Salary</a:t>
          </a:r>
          <a:r>
            <a:rPr lang="en-US" sz="800" b="1"/>
            <a:t> </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0</xdr:colOff>
      <xdr:row>7</xdr:row>
      <xdr:rowOff>22861</xdr:rowOff>
    </xdr:from>
    <xdr:to>
      <xdr:col>3</xdr:col>
      <xdr:colOff>1171551</xdr:colOff>
      <xdr:row>13</xdr:row>
      <xdr:rowOff>45720</xdr:rowOff>
    </xdr:to>
    <mc:AlternateContent xmlns:mc="http://schemas.openxmlformats.org/markup-compatibility/2006" xmlns:a14="http://schemas.microsoft.com/office/drawing/2010/main">
      <mc:Choice Requires="a14">
        <xdr:graphicFrame macro="">
          <xdr:nvGraphicFramePr>
            <xdr:cNvPr id="3" name="Job Title">
              <a:extLst>
                <a:ext uri="{FF2B5EF4-FFF2-40B4-BE49-F238E27FC236}">
                  <a16:creationId xmlns:a16="http://schemas.microsoft.com/office/drawing/2014/main" id="{9E7D1FBA-D668-4FEC-93E6-17CAEC3B320D}"/>
                </a:ext>
              </a:extLst>
            </xdr:cNvPr>
            <xdr:cNvGraphicFramePr/>
          </xdr:nvGraphicFramePr>
          <xdr:xfrm>
            <a:off x="0" y="0"/>
            <a:ext cx="0" cy="0"/>
          </xdr:xfrm>
          <a:graphic>
            <a:graphicData uri="http://schemas.microsoft.com/office/drawing/2010/slicer">
              <sle:slicer xmlns:sle="http://schemas.microsoft.com/office/drawing/2010/slicer" name="Job Title"/>
            </a:graphicData>
          </a:graphic>
        </xdr:graphicFrame>
      </mc:Choice>
      <mc:Fallback xmlns="">
        <xdr:sp macro="" textlink="">
          <xdr:nvSpPr>
            <xdr:cNvPr id="0" name=""/>
            <xdr:cNvSpPr>
              <a:spLocks noTextEdit="1"/>
            </xdr:cNvSpPr>
          </xdr:nvSpPr>
          <xdr:spPr>
            <a:xfrm>
              <a:off x="3038354" y="1305722"/>
              <a:ext cx="1171551" cy="112245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197831</xdr:colOff>
      <xdr:row>33</xdr:row>
      <xdr:rowOff>19581</xdr:rowOff>
    </xdr:from>
    <xdr:to>
      <xdr:col>5</xdr:col>
      <xdr:colOff>221848</xdr:colOff>
      <xdr:row>39</xdr:row>
      <xdr:rowOff>28938</xdr:rowOff>
    </xdr:to>
    <mc:AlternateContent xmlns:mc="http://schemas.openxmlformats.org/markup-compatibility/2006" xmlns:a14="http://schemas.microsoft.com/office/drawing/2010/main">
      <mc:Choice Requires="a14">
        <xdr:graphicFrame macro="">
          <xdr:nvGraphicFramePr>
            <xdr:cNvPr id="4" name="Sector">
              <a:extLst>
                <a:ext uri="{FF2B5EF4-FFF2-40B4-BE49-F238E27FC236}">
                  <a16:creationId xmlns:a16="http://schemas.microsoft.com/office/drawing/2014/main" id="{67AEEE83-CAB6-4B1A-B99D-4321F3BA1A7A}"/>
                </a:ext>
              </a:extLst>
            </xdr:cNvPr>
            <xdr:cNvGraphicFramePr/>
          </xdr:nvGraphicFramePr>
          <xdr:xfrm>
            <a:off x="0" y="0"/>
            <a:ext cx="0" cy="0"/>
          </xdr:xfrm>
          <a:graphic>
            <a:graphicData uri="http://schemas.microsoft.com/office/drawing/2010/slicer">
              <sle:slicer xmlns:sle="http://schemas.microsoft.com/office/drawing/2010/slicer" name="Sector"/>
            </a:graphicData>
          </a:graphic>
        </xdr:graphicFrame>
      </mc:Choice>
      <mc:Fallback xmlns="">
        <xdr:sp macro="" textlink="">
          <xdr:nvSpPr>
            <xdr:cNvPr id="0" name=""/>
            <xdr:cNvSpPr>
              <a:spLocks noTextEdit="1"/>
            </xdr:cNvSpPr>
          </xdr:nvSpPr>
          <xdr:spPr>
            <a:xfrm>
              <a:off x="4412945" y="6067353"/>
              <a:ext cx="1422625" cy="11089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94430</xdr:colOff>
      <xdr:row>50</xdr:row>
      <xdr:rowOff>97517</xdr:rowOff>
    </xdr:from>
    <xdr:to>
      <xdr:col>4</xdr:col>
      <xdr:colOff>636607</xdr:colOff>
      <xdr:row>56</xdr:row>
      <xdr:rowOff>125393</xdr:rowOff>
    </xdr:to>
    <mc:AlternateContent xmlns:mc="http://schemas.openxmlformats.org/markup-compatibility/2006" xmlns:a14="http://schemas.microsoft.com/office/drawing/2010/main">
      <mc:Choice Requires="a14">
        <xdr:graphicFrame macro="">
          <xdr:nvGraphicFramePr>
            <xdr:cNvPr id="6" name="Company">
              <a:extLst>
                <a:ext uri="{FF2B5EF4-FFF2-40B4-BE49-F238E27FC236}">
                  <a16:creationId xmlns:a16="http://schemas.microsoft.com/office/drawing/2014/main" id="{3EF98FA7-D602-4115-8D72-07E47AB84927}"/>
                </a:ext>
              </a:extLst>
            </xdr:cNvPr>
            <xdr:cNvGraphicFramePr/>
          </xdr:nvGraphicFramePr>
          <xdr:xfrm>
            <a:off x="0" y="0"/>
            <a:ext cx="0" cy="0"/>
          </xdr:xfrm>
          <a:graphic>
            <a:graphicData uri="http://schemas.microsoft.com/office/drawing/2010/slicer">
              <sle:slicer xmlns:sle="http://schemas.microsoft.com/office/drawing/2010/slicer" name="Company"/>
            </a:graphicData>
          </a:graphic>
        </xdr:graphicFrame>
      </mc:Choice>
      <mc:Fallback xmlns="">
        <xdr:sp macro="" textlink="">
          <xdr:nvSpPr>
            <xdr:cNvPr id="0" name=""/>
            <xdr:cNvSpPr>
              <a:spLocks noTextEdit="1"/>
            </xdr:cNvSpPr>
          </xdr:nvSpPr>
          <xdr:spPr>
            <a:xfrm>
              <a:off x="3132784" y="9337973"/>
              <a:ext cx="1718937" cy="112747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1215342</xdr:colOff>
      <xdr:row>27</xdr:row>
      <xdr:rowOff>38582</xdr:rowOff>
    </xdr:from>
    <xdr:to>
      <xdr:col>6</xdr:col>
      <xdr:colOff>115747</xdr:colOff>
      <xdr:row>28</xdr:row>
      <xdr:rowOff>125392</xdr:rowOff>
    </xdr:to>
    <xdr:sp macro="" textlink="">
      <xdr:nvSpPr>
        <xdr:cNvPr id="2" name="TextBox 1">
          <a:extLst>
            <a:ext uri="{FF2B5EF4-FFF2-40B4-BE49-F238E27FC236}">
              <a16:creationId xmlns:a16="http://schemas.microsoft.com/office/drawing/2014/main" id="{E186ED6D-DE92-4CE2-AEC3-937543DB03BA}"/>
            </a:ext>
          </a:extLst>
        </xdr:cNvPr>
        <xdr:cNvSpPr txBox="1"/>
      </xdr:nvSpPr>
      <xdr:spPr>
        <a:xfrm>
          <a:off x="5092861" y="4986759"/>
          <a:ext cx="1475772" cy="2700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 Top Hiring Sector</a:t>
          </a:r>
        </a:p>
      </xdr:txBody>
    </xdr:sp>
    <xdr:clientData/>
  </xdr:twoCellAnchor>
  <xdr:twoCellAnchor>
    <xdr:from>
      <xdr:col>5</xdr:col>
      <xdr:colOff>231492</xdr:colOff>
      <xdr:row>45</xdr:row>
      <xdr:rowOff>163975</xdr:rowOff>
    </xdr:from>
    <xdr:to>
      <xdr:col>6</xdr:col>
      <xdr:colOff>241138</xdr:colOff>
      <xdr:row>47</xdr:row>
      <xdr:rowOff>48228</xdr:rowOff>
    </xdr:to>
    <xdr:sp macro="" textlink="">
      <xdr:nvSpPr>
        <xdr:cNvPr id="5" name="TextBox 4">
          <a:extLst>
            <a:ext uri="{FF2B5EF4-FFF2-40B4-BE49-F238E27FC236}">
              <a16:creationId xmlns:a16="http://schemas.microsoft.com/office/drawing/2014/main" id="{92EB4224-A7F6-415B-B980-EDA3DB30A158}"/>
            </a:ext>
          </a:extLst>
        </xdr:cNvPr>
        <xdr:cNvSpPr txBox="1"/>
      </xdr:nvSpPr>
      <xdr:spPr>
        <a:xfrm>
          <a:off x="6086353" y="8410937"/>
          <a:ext cx="1186405" cy="26043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u="none" strike="noStrike">
              <a:solidFill>
                <a:schemeClr val="dk1"/>
              </a:solidFill>
              <a:effectLst/>
              <a:latin typeface="+mn-lt"/>
              <a:ea typeface="+mn-ea"/>
              <a:cs typeface="+mn-cs"/>
            </a:rPr>
            <a:t>✅ Top company </a:t>
          </a:r>
          <a:r>
            <a:rPr lang="en-US"/>
            <a:t> </a:t>
          </a:r>
          <a:endParaRPr lang="en-US" sz="1100"/>
        </a:p>
      </xdr:txBody>
    </xdr:sp>
    <xdr:clientData/>
  </xdr:twoCellAnchor>
  <xdr:twoCellAnchor>
    <xdr:from>
      <xdr:col>5</xdr:col>
      <xdr:colOff>28935</xdr:colOff>
      <xdr:row>7</xdr:row>
      <xdr:rowOff>67518</xdr:rowOff>
    </xdr:from>
    <xdr:to>
      <xdr:col>5</xdr:col>
      <xdr:colOff>1109240</xdr:colOff>
      <xdr:row>8</xdr:row>
      <xdr:rowOff>135038</xdr:rowOff>
    </xdr:to>
    <xdr:sp macro="" textlink="">
      <xdr:nvSpPr>
        <xdr:cNvPr id="8" name="TextBox 7">
          <a:extLst>
            <a:ext uri="{FF2B5EF4-FFF2-40B4-BE49-F238E27FC236}">
              <a16:creationId xmlns:a16="http://schemas.microsoft.com/office/drawing/2014/main" id="{EFF10B53-FB00-41AD-9C6C-0506EF3177FD}"/>
            </a:ext>
          </a:extLst>
        </xdr:cNvPr>
        <xdr:cNvSpPr txBox="1"/>
      </xdr:nvSpPr>
      <xdr:spPr>
        <a:xfrm>
          <a:off x="5305062" y="1350379"/>
          <a:ext cx="1080305" cy="25078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i="0" u="none" strike="noStrike">
              <a:solidFill>
                <a:schemeClr val="dk1"/>
              </a:solidFill>
              <a:effectLst/>
              <a:latin typeface="+mn-lt"/>
              <a:ea typeface="+mn-ea"/>
              <a:cs typeface="+mn-cs"/>
            </a:rPr>
            <a:t>💰 Avg Salary</a:t>
          </a:r>
          <a:r>
            <a:rPr lang="en-US" sz="1000" b="1"/>
            <a:t> </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861060</xdr:colOff>
      <xdr:row>1</xdr:row>
      <xdr:rowOff>171450</xdr:rowOff>
    </xdr:from>
    <xdr:to>
      <xdr:col>14</xdr:col>
      <xdr:colOff>15240</xdr:colOff>
      <xdr:row>23</xdr:row>
      <xdr:rowOff>83820</xdr:rowOff>
    </xdr:to>
    <xdr:graphicFrame macro="">
      <xdr:nvGraphicFramePr>
        <xdr:cNvPr id="2" name="Chart 1">
          <a:extLst>
            <a:ext uri="{FF2B5EF4-FFF2-40B4-BE49-F238E27FC236}">
              <a16:creationId xmlns:a16="http://schemas.microsoft.com/office/drawing/2014/main" id="{31221445-0085-4341-A8F5-B70AB293C2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114300</xdr:colOff>
      <xdr:row>20</xdr:row>
      <xdr:rowOff>60960</xdr:rowOff>
    </xdr:from>
    <xdr:to>
      <xdr:col>2</xdr:col>
      <xdr:colOff>480060</xdr:colOff>
      <xdr:row>24</xdr:row>
      <xdr:rowOff>68580</xdr:rowOff>
    </xdr:to>
    <xdr:sp macro="" textlink="">
      <xdr:nvSpPr>
        <xdr:cNvPr id="3" name="TextBox 2">
          <a:extLst>
            <a:ext uri="{FF2B5EF4-FFF2-40B4-BE49-F238E27FC236}">
              <a16:creationId xmlns:a16="http://schemas.microsoft.com/office/drawing/2014/main" id="{10621465-2F34-4A86-8631-601772CA6539}"/>
            </a:ext>
          </a:extLst>
        </xdr:cNvPr>
        <xdr:cNvSpPr txBox="1"/>
      </xdr:nvSpPr>
      <xdr:spPr>
        <a:xfrm>
          <a:off x="114300" y="3718560"/>
          <a:ext cx="3108960" cy="739140"/>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Business Insight</a:t>
          </a:r>
          <a:endParaRPr lang="en-US"/>
        </a:p>
        <a:p>
          <a:r>
            <a:rPr lang="en-US"/>
            <a:t>Hiring increases during business expansion periods and decreases during slower recruitment cycles.</a:t>
          </a:r>
        </a:p>
        <a:p>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3</xdr:col>
      <xdr:colOff>7620</xdr:colOff>
      <xdr:row>1</xdr:row>
      <xdr:rowOff>179070</xdr:rowOff>
    </xdr:from>
    <xdr:to>
      <xdr:col>13</xdr:col>
      <xdr:colOff>586740</xdr:colOff>
      <xdr:row>19</xdr:row>
      <xdr:rowOff>7620</xdr:rowOff>
    </xdr:to>
    <xdr:graphicFrame macro="">
      <xdr:nvGraphicFramePr>
        <xdr:cNvPr id="2" name="Chart 1">
          <a:extLst>
            <a:ext uri="{FF2B5EF4-FFF2-40B4-BE49-F238E27FC236}">
              <a16:creationId xmlns:a16="http://schemas.microsoft.com/office/drawing/2014/main" id="{D153EAD5-5086-48EF-903D-0088AB6618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182880</xdr:colOff>
      <xdr:row>19</xdr:row>
      <xdr:rowOff>137160</xdr:rowOff>
    </xdr:from>
    <xdr:to>
      <xdr:col>3</xdr:col>
      <xdr:colOff>160020</xdr:colOff>
      <xdr:row>23</xdr:row>
      <xdr:rowOff>129540</xdr:rowOff>
    </xdr:to>
    <xdr:sp macro="" textlink="">
      <xdr:nvSpPr>
        <xdr:cNvPr id="3" name="TextBox 2">
          <a:extLst>
            <a:ext uri="{FF2B5EF4-FFF2-40B4-BE49-F238E27FC236}">
              <a16:creationId xmlns:a16="http://schemas.microsoft.com/office/drawing/2014/main" id="{DB12C5BA-D945-4339-BB13-385433E4F07A}"/>
            </a:ext>
          </a:extLst>
        </xdr:cNvPr>
        <xdr:cNvSpPr txBox="1"/>
      </xdr:nvSpPr>
      <xdr:spPr>
        <a:xfrm>
          <a:off x="182880" y="3611880"/>
          <a:ext cx="3787140" cy="723900"/>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Business Insight</a:t>
          </a:r>
          <a:endParaRPr lang="en-US"/>
        </a:p>
        <a:p>
          <a:r>
            <a:rPr lang="en-US"/>
            <a:t>Full-Time jobs dominate the AI market, indicating companies prefer permanent employees.</a:t>
          </a:r>
        </a:p>
        <a:p>
          <a:endParaRPr 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4</xdr:col>
      <xdr:colOff>289560</xdr:colOff>
      <xdr:row>1</xdr:row>
      <xdr:rowOff>72390</xdr:rowOff>
    </xdr:from>
    <xdr:to>
      <xdr:col>15</xdr:col>
      <xdr:colOff>30480</xdr:colOff>
      <xdr:row>20</xdr:row>
      <xdr:rowOff>15240</xdr:rowOff>
    </xdr:to>
    <xdr:graphicFrame macro="">
      <xdr:nvGraphicFramePr>
        <xdr:cNvPr id="2" name="Chart 1">
          <a:extLst>
            <a:ext uri="{FF2B5EF4-FFF2-40B4-BE49-F238E27FC236}">
              <a16:creationId xmlns:a16="http://schemas.microsoft.com/office/drawing/2014/main" id="{A3793727-C412-4113-B89E-4D13A240F3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144780</xdr:colOff>
      <xdr:row>19</xdr:row>
      <xdr:rowOff>121920</xdr:rowOff>
    </xdr:from>
    <xdr:to>
      <xdr:col>4</xdr:col>
      <xdr:colOff>30480</xdr:colOff>
      <xdr:row>23</xdr:row>
      <xdr:rowOff>7620</xdr:rowOff>
    </xdr:to>
    <xdr:sp macro="" textlink="">
      <xdr:nvSpPr>
        <xdr:cNvPr id="3" name="TextBox 2">
          <a:extLst>
            <a:ext uri="{FF2B5EF4-FFF2-40B4-BE49-F238E27FC236}">
              <a16:creationId xmlns:a16="http://schemas.microsoft.com/office/drawing/2014/main" id="{603BCC36-9075-4AA7-96B7-01882F556065}"/>
            </a:ext>
          </a:extLst>
        </xdr:cNvPr>
        <xdr:cNvSpPr txBox="1"/>
      </xdr:nvSpPr>
      <xdr:spPr>
        <a:xfrm>
          <a:off x="144780" y="3596640"/>
          <a:ext cx="4091940" cy="617220"/>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Business Insight</a:t>
          </a:r>
          <a:endParaRPr lang="en-US"/>
        </a:p>
        <a:p>
          <a:r>
            <a:rPr lang="en-US"/>
            <a:t>Specialized AI roles receive higher salaries than entry-level analytical roles.</a:t>
          </a:r>
        </a:p>
        <a:p>
          <a:endParaRPr lang="en-US"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3</xdr:col>
      <xdr:colOff>0</xdr:colOff>
      <xdr:row>1</xdr:row>
      <xdr:rowOff>179070</xdr:rowOff>
    </xdr:from>
    <xdr:to>
      <xdr:col>15</xdr:col>
      <xdr:colOff>45720</xdr:colOff>
      <xdr:row>21</xdr:row>
      <xdr:rowOff>175260</xdr:rowOff>
    </xdr:to>
    <xdr:graphicFrame macro="">
      <xdr:nvGraphicFramePr>
        <xdr:cNvPr id="2" name="Chart 1">
          <a:extLst>
            <a:ext uri="{FF2B5EF4-FFF2-40B4-BE49-F238E27FC236}">
              <a16:creationId xmlns:a16="http://schemas.microsoft.com/office/drawing/2014/main" id="{82E6B1C3-0168-4980-9C93-351ED418B1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83820</xdr:colOff>
      <xdr:row>19</xdr:row>
      <xdr:rowOff>106680</xdr:rowOff>
    </xdr:from>
    <xdr:to>
      <xdr:col>2</xdr:col>
      <xdr:colOff>556260</xdr:colOff>
      <xdr:row>23</xdr:row>
      <xdr:rowOff>22860</xdr:rowOff>
    </xdr:to>
    <xdr:sp macro="" textlink="">
      <xdr:nvSpPr>
        <xdr:cNvPr id="3" name="TextBox 2">
          <a:extLst>
            <a:ext uri="{FF2B5EF4-FFF2-40B4-BE49-F238E27FC236}">
              <a16:creationId xmlns:a16="http://schemas.microsoft.com/office/drawing/2014/main" id="{08BFF9D9-C6AE-4DF6-B3F6-1DC9346C3519}"/>
            </a:ext>
          </a:extLst>
        </xdr:cNvPr>
        <xdr:cNvSpPr txBox="1"/>
      </xdr:nvSpPr>
      <xdr:spPr>
        <a:xfrm>
          <a:off x="83820" y="3581400"/>
          <a:ext cx="2971800" cy="647700"/>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Business Insight</a:t>
          </a:r>
          <a:endParaRPr lang="en-US"/>
        </a:p>
        <a:p>
          <a:r>
            <a:rPr lang="en-US"/>
            <a:t>Technology and Finance sectors offer the highest number of AI opportunities.</a:t>
          </a:r>
        </a:p>
        <a:p>
          <a:endParaRPr lang="en-US" sz="11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2</xdr:col>
      <xdr:colOff>594360</xdr:colOff>
      <xdr:row>2</xdr:row>
      <xdr:rowOff>26670</xdr:rowOff>
    </xdr:from>
    <xdr:to>
      <xdr:col>14</xdr:col>
      <xdr:colOff>365760</xdr:colOff>
      <xdr:row>24</xdr:row>
      <xdr:rowOff>45720</xdr:rowOff>
    </xdr:to>
    <xdr:graphicFrame macro="">
      <xdr:nvGraphicFramePr>
        <xdr:cNvPr id="2" name="Chart 1">
          <a:extLst>
            <a:ext uri="{FF2B5EF4-FFF2-40B4-BE49-F238E27FC236}">
              <a16:creationId xmlns:a16="http://schemas.microsoft.com/office/drawing/2014/main" id="{4078B20D-C294-4BD7-B364-69EDD0F359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0</xdr:colOff>
      <xdr:row>26</xdr:row>
      <xdr:rowOff>15240</xdr:rowOff>
    </xdr:from>
    <xdr:to>
      <xdr:col>10</xdr:col>
      <xdr:colOff>22860</xdr:colOff>
      <xdr:row>30</xdr:row>
      <xdr:rowOff>30480</xdr:rowOff>
    </xdr:to>
    <xdr:sp macro="" textlink="">
      <xdr:nvSpPr>
        <xdr:cNvPr id="3" name="TextBox 2">
          <a:extLst>
            <a:ext uri="{FF2B5EF4-FFF2-40B4-BE49-F238E27FC236}">
              <a16:creationId xmlns:a16="http://schemas.microsoft.com/office/drawing/2014/main" id="{88DC5B73-9932-4A99-8170-8C8F1E7F76A8}"/>
            </a:ext>
          </a:extLst>
        </xdr:cNvPr>
        <xdr:cNvSpPr txBox="1"/>
      </xdr:nvSpPr>
      <xdr:spPr>
        <a:xfrm>
          <a:off x="3261360" y="4770120"/>
          <a:ext cx="4290060" cy="746760"/>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Business Insight</a:t>
          </a:r>
          <a:endParaRPr lang="en-US"/>
        </a:p>
        <a:p>
          <a:r>
            <a:rPr lang="en-US"/>
            <a:t>Large technology companies hire across all experience levels, while startups focus more on mid-level professionals.</a:t>
          </a:r>
        </a:p>
        <a:p>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shal" refreshedDate="46196.672884722226" createdVersion="7" refreshedVersion="7" minRefreshableVersion="3" recordCount="200" xr:uid="{41B0466A-26AF-4A62-AF7A-05A89B85B7DC}">
  <cacheSource type="worksheet">
    <worksheetSource ref="A1:P201" sheet="Dataset"/>
  </cacheSource>
  <cacheFields count="16">
    <cacheField name="Job ID" numFmtId="0">
      <sharedItems containsSemiMixedTypes="0" containsString="0" containsNumber="1" containsInteger="1" minValue="1" maxValue="200"/>
    </cacheField>
    <cacheField name="Job Title" numFmtId="0">
      <sharedItems count="15">
        <s v="LLM Fine-tune Specialist"/>
        <s v="AI Research Scientist"/>
        <s v="Robotics AI Engineer"/>
        <s v="Deep Learning Engineer"/>
        <s v="Data Scientist"/>
        <s v="AI Ethics Researcher"/>
        <s v="NLP Engineer"/>
        <s v="ML Engineer"/>
        <s v="AI/ML Architect"/>
        <s v="AI Engineer"/>
        <s v="AI Product Manager"/>
        <s v="MLOps Engineer"/>
        <s v="Prompt Engineer"/>
        <s v="Computer Vision Engineer"/>
        <s v="AI Analyst"/>
      </sharedItems>
    </cacheField>
    <cacheField name="Company" numFmtId="0">
      <sharedItems count="30">
        <s v="Meta AI"/>
        <s v="Cruise"/>
        <s v="Scale AI"/>
        <s v="Stability AI"/>
        <s v="Oracle"/>
        <s v="SAP"/>
        <s v="Salesforce"/>
        <s v="OpenAI"/>
        <s v="H2O.ai"/>
        <s v="Microsoft"/>
        <s v="Nvidia"/>
        <s v="DataRobot"/>
        <s v="IBM"/>
        <s v="Cohere"/>
        <s v="Anthropic"/>
        <s v="Hugging Face"/>
        <s v="Mistral AI"/>
        <s v="Apple"/>
        <s v="Tesla"/>
        <s v="C3.ai"/>
        <s v="Amazon"/>
        <s v="Databricks"/>
        <s v="Weights &amp; Biases"/>
        <s v="Inflection AI"/>
        <s v="Adobe"/>
        <s v="Palantir"/>
        <s v="Waymo"/>
        <s v="Google DeepMind"/>
        <s v="Pinecone"/>
        <s v="Weaviate"/>
      </sharedItems>
    </cacheField>
    <cacheField name="Sector" numFmtId="0">
      <sharedItems count="8">
        <s v="Technology"/>
        <s v="Energy"/>
        <s v="Retail"/>
        <s v="Finance"/>
        <s v="Automotive"/>
        <s v="Defence"/>
        <s v="Media"/>
        <s v="Healthcare"/>
      </sharedItems>
    </cacheField>
    <cacheField name="Experience Level" numFmtId="0">
      <sharedItems count="5">
        <s v="Senior"/>
        <s v="Mid-level"/>
        <s v="Junior"/>
        <s v="Principal"/>
        <s v="Lead"/>
      </sharedItems>
    </cacheField>
    <cacheField name="Employment Type" numFmtId="0">
      <sharedItems count="4">
        <s v="Full-time"/>
        <s v="Contract"/>
        <s v="Part-time"/>
        <s v="Freelance"/>
      </sharedItems>
    </cacheField>
    <cacheField name="Salary (USD)" numFmtId="0">
      <sharedItems containsSemiMixedTypes="0" containsString="0" containsNumber="1" containsInteger="1" minValue="71000" maxValue="291000" count="113">
        <n v="144000"/>
        <n v="174000"/>
        <n v="114000"/>
        <n v="149000"/>
        <n v="116000"/>
        <n v="119000"/>
        <n v="85000"/>
        <n v="217000"/>
        <n v="128000"/>
        <n v="125000"/>
        <n v="244000"/>
        <n v="161000"/>
        <n v="190000"/>
        <n v="177000"/>
        <n v="280000"/>
        <n v="139000"/>
        <n v="145000"/>
        <n v="87000"/>
        <n v="93000"/>
        <n v="82000"/>
        <n v="232000"/>
        <n v="101000"/>
        <n v="84000"/>
        <n v="201000"/>
        <n v="188000"/>
        <n v="141000"/>
        <n v="136000"/>
        <n v="195000"/>
        <n v="175000"/>
        <n v="228000"/>
        <n v="90000"/>
        <n v="214000"/>
        <n v="183000"/>
        <n v="132000"/>
        <n v="123000"/>
        <n v="171000"/>
        <n v="156000"/>
        <n v="168000"/>
        <n v="83000"/>
        <n v="173000"/>
        <n v="181000"/>
        <n v="96000"/>
        <n v="91000"/>
        <n v="167000"/>
        <n v="143000"/>
        <n v="162000"/>
        <n v="164000"/>
        <n v="158000"/>
        <n v="129000"/>
        <n v="240000"/>
        <n v="147000"/>
        <n v="184000"/>
        <n v="159000"/>
        <n v="153000"/>
        <n v="97000"/>
        <n v="117000"/>
        <n v="152000"/>
        <n v="230000"/>
        <n v="239000"/>
        <n v="212000"/>
        <n v="71000"/>
        <n v="234000"/>
        <n v="215000"/>
        <n v="176000"/>
        <n v="213000"/>
        <n v="142000"/>
        <n v="169000"/>
        <n v="109000"/>
        <n v="205000"/>
        <n v="209000"/>
        <n v="105000"/>
        <n v="110000"/>
        <n v="138000"/>
        <n v="150000"/>
        <n v="140000"/>
        <n v="172000"/>
        <n v="166000"/>
        <n v="154000"/>
        <n v="203000"/>
        <n v="272000"/>
        <n v="200000"/>
        <n v="179000"/>
        <n v="135000"/>
        <n v="191000"/>
        <n v="111000"/>
        <n v="165000"/>
        <n v="207000"/>
        <n v="235000"/>
        <n v="224000"/>
        <n v="89000"/>
        <n v="107000"/>
        <n v="204000"/>
        <n v="73000"/>
        <n v="103000"/>
        <n v="227000"/>
        <n v="196000"/>
        <n v="291000"/>
        <n v="160000"/>
        <n v="264000"/>
        <n v="99000"/>
        <n v="197000"/>
        <n v="246000"/>
        <n v="130000"/>
        <n v="124000"/>
        <n v="134000"/>
        <n v="120000"/>
        <n v="112000"/>
        <n v="193000"/>
        <n v="133000"/>
        <n v="76000"/>
        <n v="126000"/>
        <n v="218000"/>
        <n v="206000"/>
      </sharedItems>
    </cacheField>
    <cacheField name="Location" numFmtId="0">
      <sharedItems/>
    </cacheField>
    <cacheField name="Years of Experience" numFmtId="0">
      <sharedItems containsSemiMixedTypes="0" containsString="0" containsNumber="1" minValue="0" maxValue="17.8"/>
    </cacheField>
    <cacheField name="Work Mode" numFmtId="0">
      <sharedItems/>
    </cacheField>
    <cacheField name="Company Rating" numFmtId="0">
      <sharedItems containsSemiMixedTypes="0" containsString="0" containsNumber="1" minValue="3" maxValue="5"/>
    </cacheField>
    <cacheField name="Required Skills" numFmtId="0">
      <sharedItems count="197">
        <s v="Python, Scala, LLMs / Prompt Engineering, TensorFlow"/>
        <s v="PyTorch, TensorFlow, Docker, RAG / Vector DBs"/>
        <s v="Computer Vision, Spark, RAG / Vector DBs, Scala, TensorFlow"/>
        <s v="TensorFlow, Reinforcement Learning, MLOps, Kubernetes"/>
        <s v="Spark, Python, Docker"/>
        <s v="MLOps, Kubernetes, Computer Vision, Cloud (AWS/GCP/Azure), Docker"/>
        <s v="Cloud (AWS/GCP/Azure), Scala, Computer Vision"/>
        <s v="Scala, Kubernetes, MLOps, Transformers / Hugging Face, PyTorch"/>
        <s v="Scala, Spark, Docker, MLOps"/>
        <s v="Transformers / Hugging Face, Spark, Computer Vision, Cloud (AWS/GCP/Azure)"/>
        <s v="LLMs / Prompt Engineering, RAG / Vector DBs, Python"/>
        <s v="Transformers / Hugging Face, PyTorch, Kubernetes"/>
        <s v="Reinforcement Learning, Scala, LLMs / Prompt Engineering, Python, Cloud (AWS/GCP/Azure)"/>
        <s v="LLMs / Prompt Engineering, Python, Reinforcement Learning, Transformers / Hugging Face, Spark"/>
        <s v="MLOps, Cloud (AWS/GCP/Azure), Kubernetes, Docker"/>
        <s v="PyTorch, Python, Transformers / Hugging Face, LLMs / Prompt Engineering, Scala"/>
        <s v="RAG / Vector DBs, MLOps, TensorFlow, Reinforcement Learning, Scala"/>
        <s v="Transformers / Hugging Face, TensorFlow, Scala"/>
        <s v="Reinforcement Learning, Spark, Transformers / Hugging Face"/>
        <s v="Reinforcement Learning, Spark, MLOps, Transformers / Hugging Face, SQL"/>
        <s v="Python, LLMs / Prompt Engineering, Spark, Kubernetes, PyTorch"/>
        <s v="Scala, Spark, Cloud (AWS/GCP/Azure), Computer Vision, PyTorch"/>
        <s v="PyTorch, Docker, Kubernetes, LLMs / Prompt Engineering"/>
        <s v="Spark, LLMs / Prompt Engineering, Docker, MLOps"/>
        <s v="Cloud (AWS/GCP/Azure), RAG / Vector DBs, Kubernetes, Spark, Scala"/>
        <s v="Computer Vision, RAG / Vector DBs, Reinforcement Learning, LLMs / Prompt Engineering"/>
        <s v="Cloud (AWS/GCP/Azure), Transformers / Hugging Face, Python, MLOps"/>
        <s v="PyTorch, Reinforcement Learning, LLMs / Prompt Engineering, MLOps, Transformers / Hugging Face"/>
        <s v="SQL, Cloud (AWS/GCP/Azure), Reinforcement Learning"/>
        <s v="TensorFlow, Spark, LLMs / Prompt Engineering, SQL, PyTorch"/>
        <s v="Spark, SQL, Scala, MLOps, TensorFlow"/>
        <s v="TensorFlow, Cloud (AWS/GCP/Azure), Kubernetes"/>
        <s v="Cloud (AWS/GCP/Azure), SQL, Python, RAG / Vector DBs, MLOps"/>
        <s v="Kubernetes, PyTorch, SQL, Spark"/>
        <s v="RAG / Vector DBs, Scala, Docker, Cloud (AWS/GCP/Azure)"/>
        <s v="TensorFlow, Scala, Python"/>
        <s v="MLOps, LLMs / Prompt Engineering, Computer Vision"/>
        <s v="Docker, LLMs / Prompt Engineering, Scala, Computer Vision, Python"/>
        <s v="Kubernetes, PyTorch, Cloud (AWS/GCP/Azure), Spark"/>
        <s v="Scala, SQL, TensorFlow, Spark"/>
        <s v="Transformers / Hugging Face, Python, Scala, TensorFlow"/>
        <s v="Computer Vision, RAG / Vector DBs, SQL, Transformers / Hugging Face, Kubernetes"/>
        <s v="PyTorch, TensorFlow, Spark, Kubernetes, SQL"/>
        <s v="MLOps, Python, Spark"/>
        <s v="LLMs / Prompt Engineering, Spark, Scala, Cloud (AWS/GCP/Azure)"/>
        <s v="TensorFlow, Docker, Transformers / Hugging Face, Cloud (AWS/GCP/Azure), SQL"/>
        <s v="PyTorch, Transformers / Hugging Face, LLMs / Prompt Engineering"/>
        <s v="Computer Vision, Reinforcement Learning, Docker, TensorFlow, Cloud (AWS/GCP/Azure)"/>
        <s v="MLOps, Transformers / Hugging Face, Spark, SQL"/>
        <s v="Docker, Reinforcement Learning, MLOps"/>
        <s v="Reinforcement Learning, LLMs / Prompt Engineering, PyTorch, RAG / Vector DBs"/>
        <s v="SQL, LLMs / Prompt Engineering, Python, Reinforcement Learning, Computer Vision"/>
        <s v="MLOps, Transformers / Hugging Face, Kubernetes, Scala, Cloud (AWS/GCP/Azure)"/>
        <s v="MLOps, Spark, Python, Scala, Kubernetes"/>
        <s v="TensorFlow, Computer Vision, Cloud (AWS/GCP/Azure), Scala, Docker"/>
        <s v="LLMs / Prompt Engineering, Transformers / Hugging Face, SQL, Python"/>
        <s v="RAG / Vector DBs, Reinforcement Learning, Kubernetes, SQL"/>
        <s v="Kubernetes, MLOps, Python"/>
        <s v="Reinforcement Learning, TensorFlow, SQL, Computer Vision, PyTorch"/>
        <s v="Cloud (AWS/GCP/Azure), Kubernetes, MLOps, SQL, Docker"/>
        <s v="Spark, Reinforcement Learning, Docker, Kubernetes, Python"/>
        <s v="Reinforcement Learning, Spark, PyTorch, Scala, LLMs / Prompt Engineering"/>
        <s v="Scala, RAG / Vector DBs, Transformers / Hugging Face, Docker, MLOps"/>
        <s v="Cloud (AWS/GCP/Azure), Spark, Docker, Transformers / Hugging Face, RAG / Vector DBs"/>
        <s v="SQL, Python, Computer Vision"/>
        <s v="LLMs / Prompt Engineering, TensorFlow, Transformers / Hugging Face"/>
        <s v="Python, Kubernetes, RAG / Vector DBs, TensorFlow"/>
        <s v="LLMs / Prompt Engineering, Reinforcement Learning, TensorFlow, Spark"/>
        <s v="Docker, Computer Vision, Python"/>
        <s v="Python, PyTorch, MLOps, Scala"/>
        <s v="Docker, Spark, Reinforcement Learning, Transformers / Hugging Face, MLOps"/>
        <s v="PyTorch, MLOps, Computer Vision"/>
        <s v="Kubernetes, Spark, TensorFlow, Cloud (AWS/GCP/Azure), SQL"/>
        <s v="LLMs / Prompt Engineering, Spark, Scala"/>
        <s v="Spark, Kubernetes, Python, MLOps"/>
        <s v="TensorFlow, Docker, Cloud (AWS/GCP/Azure), Transformers / Hugging Face, Computer Vision"/>
        <s v="Cloud (AWS/GCP/Azure), LLMs / Prompt Engineering, PyTorch, Kubernetes, Reinforcement Learning"/>
        <s v="Reinforcement Learning, LLMs / Prompt Engineering, MLOps"/>
        <s v="Transformers / Hugging Face, Reinforcement Learning, MLOps, Python"/>
        <s v="Cloud (AWS/GCP/Azure), Transformers / Hugging Face, Kubernetes"/>
        <s v="Cloud (AWS/GCP/Azure), Computer Vision, Scala, Kubernetes, Reinforcement Learning"/>
        <s v="Kubernetes, RAG / Vector DBs, TensorFlow, Spark"/>
        <s v="Docker, Scala, Reinforcement Learning"/>
        <s v="SQL, Scala, Reinforcement Learning"/>
        <s v="Computer Vision, Scala, Transformers / Hugging Face"/>
        <s v="SQL, LLMs / Prompt Engineering, Docker"/>
        <s v="Reinforcement Learning, Computer Vision, Python, Scala"/>
        <s v="MLOps, Reinforcement Learning, Kubernetes, Spark"/>
        <s v="MLOps, PyTorch, TensorFlow, RAG / Vector DBs"/>
        <s v="Cloud (AWS/GCP/Azure), PyTorch, Spark, Docker, Computer Vision"/>
        <s v="Scala, Spark, TensorFlow, RAG / Vector DBs"/>
        <s v="Python, Reinforcement Learning, SQL, RAG / Vector DBs"/>
        <s v="Scala, TensorFlow, SQL"/>
        <s v="Reinforcement Learning, RAG / Vector DBs, Docker, PyTorch, Kubernetes"/>
        <s v="Computer Vision, Transformers / Hugging Face, Cloud (AWS/GCP/Azure), LLMs / Prompt Engineering, MLOps"/>
        <s v="Cloud (AWS/GCP/Azure), Python, Computer Vision, RAG / Vector DBs"/>
        <s v="MLOps, Kubernetes, Python, RAG / Vector DBs"/>
        <s v="Kubernetes, SQL, Reinforcement Learning, PyTorch"/>
        <s v="TensorFlow, MLOps, RAG / Vector DBs, Python, Reinforcement Learning"/>
        <s v="MLOps, Docker, LLMs / Prompt Engineering, Kubernetes, Cloud (AWS/GCP/Azure)"/>
        <s v="SQL, RAG / Vector DBs, Scala, Python, Spark"/>
        <s v="Python, PyTorch, LLMs / Prompt Engineering, TensorFlow"/>
        <s v="RAG / Vector DBs, Reinforcement Learning, MLOps, TensorFlow"/>
        <s v="TensorFlow, LLMs / Prompt Engineering, PyTorch, Spark"/>
        <s v="Reinforcement Learning, PyTorch, Docker, RAG / Vector DBs, Transformers / Hugging Face"/>
        <s v="LLMs / Prompt Engineering, MLOps, Cloud (AWS/GCP/Azure)"/>
        <s v="Reinforcement Learning, Computer Vision, PyTorch, Docker, Cloud (AWS/GCP/Azure)"/>
        <s v="MLOps, TensorFlow, Reinforcement Learning"/>
        <s v="Spark, Computer Vision, Python, Docker"/>
        <s v="Cloud (AWS/GCP/Azure), MLOps, SQL, LLMs / Prompt Engineering, Python"/>
        <s v="LLMs / Prompt Engineering, RAG / Vector DBs, TensorFlow, SQL, Scala"/>
        <s v="SQL, Transformers / Hugging Face, Scala"/>
        <s v="Reinforcement Learning, SQL, MLOps, Transformers / Hugging Face, Python"/>
        <s v="Docker, Transformers / Hugging Face, MLOps, Computer Vision"/>
        <s v="Python, PyTorch, Kubernetes"/>
        <s v="RAG / Vector DBs, Transformers / Hugging Face, Spark, Docker, SQL"/>
        <s v="Computer Vision, SQL, MLOps"/>
        <s v="LLMs / Prompt Engineering, TensorFlow, Python, SQL, RAG / Vector DBs"/>
        <s v="RAG / Vector DBs, PyTorch, SQL, Transformers / Hugging Face"/>
        <s v="Docker, MLOps, Kubernetes, TensorFlow"/>
        <s v="MLOps, Python, Scala"/>
        <s v="Python, Reinforcement Learning, Transformers / Hugging Face"/>
        <s v="Scala, SQL, Spark, Reinforcement Learning, TensorFlow"/>
        <s v="Spark, Cloud (AWS/GCP/Azure), Docker"/>
        <s v="TensorFlow, Docker, LLMs / Prompt Engineering, RAG / Vector DBs"/>
        <s v="Transformers / Hugging Face, RAG / Vector DBs, LLMs / Prompt Engineering, Cloud (AWS/GCP/Azure)"/>
        <s v="Computer Vision, Python, MLOps, Reinforcement Learning, RAG / Vector DBs"/>
        <s v="TensorFlow, PyTorch, SQL"/>
        <s v="SQL, Transformers / Hugging Face, Kubernetes, RAG / Vector DBs, LLMs / Prompt Engineering"/>
        <s v="Computer Vision, SQL, LLMs / Prompt Engineering, Transformers / Hugging Face, Spark"/>
        <s v="LLMs / Prompt Engineering, Python, Cloud (AWS/GCP/Azure), RAG / Vector DBs, Scala"/>
        <s v="Cloud (AWS/GCP/Azure), LLMs / Prompt Engineering, Reinforcement Learning, Docker"/>
        <s v="Spark, TensorFlow, Scala, SQL"/>
        <s v="Computer Vision, Reinforcement Learning, Kubernetes, Python"/>
        <s v="Docker, Reinforcement Learning, RAG / Vector DBs, TensorFlow, MLOps"/>
        <s v="Reinforcement Learning, Scala, Cloud (AWS/GCP/Azure), Transformers / Hugging Face"/>
        <s v="Transformers / Hugging Face, Cloud (AWS/GCP/Azure), Spark"/>
        <s v="Reinforcement Learning, Computer Vision, Spark, Python"/>
        <s v="LLMs / Prompt Engineering, Kubernetes, Docker, SQL, TensorFlow"/>
        <s v="LLMs / Prompt Engineering, Docker, Kubernetes, SQL"/>
        <s v="Spark, TensorFlow, SQL, Transformers / Hugging Face, Reinforcement Learning"/>
        <s v="Reinforcement Learning, Python, Transformers / Hugging Face, Spark, LLMs / Prompt Engineering"/>
        <s v="Scala, Computer Vision, SQL, Reinforcement Learning, Docker"/>
        <s v="Transformers / Hugging Face, PyTorch, TensorFlow"/>
        <s v="Spark, Scala, LLMs / Prompt Engineering, Reinforcement Learning, Kubernetes"/>
        <s v="Scala, Transformers / Hugging Face, Python"/>
        <s v="Computer Vision, PyTorch, Docker"/>
        <s v="Kubernetes, LLMs / Prompt Engineering, Transformers / Hugging Face, Scala, RAG / Vector DBs"/>
        <s v="PyTorch, Reinforcement Learning, Computer Vision, Spark"/>
        <s v="MLOps, SQL, RAG / Vector DBs"/>
        <s v="MLOps, Cloud (AWS/GCP/Azure), Spark"/>
        <s v="Cloud (AWS/GCP/Azure), MLOps, SQL, LLMs / Prompt Engineering"/>
        <s v="SQL, RAG / Vector DBs, Cloud (AWS/GCP/Azure), Reinforcement Learning"/>
        <s v="Docker, TensorFlow, RAG / Vector DBs, Cloud (AWS/GCP/Azure), MLOps"/>
        <s v="LLMs / Prompt Engineering, Spark, Docker, Cloud (AWS/GCP/Azure), Reinforcement Learning"/>
        <s v="Cloud (AWS/GCP/Azure), Transformers / Hugging Face, Python, RAG / Vector DBs, Spark"/>
        <s v="Python, LLMs / Prompt Engineering, MLOps"/>
        <s v="Scala, LLMs / Prompt Engineering, Spark, Kubernetes"/>
        <s v="Python, Spark, RAG / Vector DBs"/>
        <s v="PyTorch, Reinforcement Learning, Spark"/>
        <s v="Computer Vision, LLMs / Prompt Engineering, Docker"/>
        <s v="Computer Vision, PyTorch, Reinforcement Learning, Kubernetes"/>
        <s v="PyTorch, Computer Vision, Cloud (AWS/GCP/Azure), Docker, Scala"/>
        <s v="Python, SQL, PyTorch, TensorFlow"/>
        <s v="Spark, Docker, Python, Kubernetes, SQL"/>
        <s v="Docker, Scala, TensorFlow"/>
        <s v="Transformers / Hugging Face, PyTorch, RAG / Vector DBs, Kubernetes, MLOps"/>
        <s v="TensorFlow, PyTorch, Kubernetes"/>
        <s v="Spark, TensorFlow, SQL, MLOps"/>
        <s v="Scala, Spark, PyTorch"/>
        <s v="PyTorch, Python, Cloud (AWS/GCP/Azure), Reinforcement Learning, MLOps"/>
        <s v="Kubernetes, RAG / Vector DBs, LLMs / Prompt Engineering"/>
        <s v="Reinforcement Learning, Scala, PyTorch"/>
        <s v="LLMs / Prompt Engineering, Scala, PyTorch"/>
        <s v="Python, Spark, Reinforcement Learning, MLOps, TensorFlow"/>
        <s v="RAG / Vector DBs, Scala, PyTorch"/>
        <s v="Docker, Cloud (AWS/GCP/Azure), Transformers / Hugging Face"/>
        <s v="Docker, PyTorch, Transformers / Hugging Face"/>
        <s v="Computer Vision, Python, MLOps, Reinforcement Learning, Kubernetes"/>
        <s v="Kubernetes, LLMs / Prompt Engineering, Docker, Python"/>
        <s v="Docker, LLMs / Prompt Engineering, Computer Vision, Reinforcement Learning"/>
        <s v="Transformers / Hugging Face, Docker, Kubernetes"/>
        <s v="Docker, Transformers / Hugging Face, Python"/>
        <s v="Computer Vision, TensorFlow, SQL, RAG / Vector DBs, Scala"/>
        <s v="RAG / Vector DBs, Python, Docker"/>
        <s v="Cloud (AWS/GCP/Azure), Kubernetes, RAG / Vector DBs, SQL, LLMs / Prompt Engineering"/>
        <s v="Kubernetes, Spark, Scala, RAG / Vector DBs"/>
        <s v="SQL, MLOps, Scala"/>
        <s v="Python, Reinforcement Learning, MLOps, Docker, PyTorch"/>
        <s v="TensorFlow, Spark, Cloud (AWS/GCP/Azure)"/>
        <s v="LLMs / Prompt Engineering, Python, SQL, Spark"/>
        <s v="Scala, PyTorch, Python, Computer Vision"/>
        <s v="Reinforcement Learning, Docker, Transformers / Hugging Face"/>
        <s v="Python, Docker, SQL, Transformers / Hugging Face"/>
        <s v="RAG / Vector DBs, Spark, PyTorch, Docker"/>
        <s v="Transformers / Hugging Face, MLOps, PyTorch, SQL"/>
        <s v="Python, Scala, PyTorch, Computer Vision"/>
      </sharedItems>
    </cacheField>
    <cacheField name="Date Posted" numFmtId="0">
      <sharedItems containsSemiMixedTypes="0" containsString="0" containsNumber="1" containsInteger="1" minValue="45482" maxValue="45838"/>
    </cacheField>
    <cacheField name="Days Open" numFmtId="0">
      <sharedItems containsSemiMixedTypes="0" containsString="0" containsNumber="1" containsInteger="1" minValue="5" maxValue="65"/>
    </cacheField>
    <cacheField name="Education Required" numFmtId="0">
      <sharedItems/>
    </cacheField>
    <cacheField name="YoY Growth (%)" numFmtId="0">
      <sharedItems containsSemiMixedTypes="0" containsString="0" containsNumber="1" minValue="-4.8" maxValue="85"/>
    </cacheField>
  </cacheFields>
  <extLst>
    <ext xmlns:x14="http://schemas.microsoft.com/office/spreadsheetml/2009/9/main" uri="{725AE2AE-9491-48be-B2B4-4EB974FC3084}">
      <x14:pivotCacheDefinition pivotCacheId="169268645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shal" refreshedDate="46273.651110185187" backgroundQuery="1" createdVersion="7" refreshedVersion="7" minRefreshableVersion="3" recordCount="0" supportSubquery="1" supportAdvancedDrill="1" xr:uid="{DCC6FA48-3366-44B4-8E52-A1389CFEDF2A}">
  <cacheSource type="external" connectionId="1"/>
  <cacheFields count="2">
    <cacheField name="[Range].[Company].[Company]" caption="Company" numFmtId="0" hierarchy="2" level="1">
      <sharedItems count="30">
        <s v="Adobe"/>
        <s v="Amazon"/>
        <s v="Anthropic"/>
        <s v="Apple"/>
        <s v="C3.ai"/>
        <s v="Cohere"/>
        <s v="Cruise"/>
        <s v="Databricks"/>
        <s v="DataRobot"/>
        <s v="Google DeepMind"/>
        <s v="H2O.ai"/>
        <s v="Hugging Face"/>
        <s v="IBM"/>
        <s v="Inflection AI"/>
        <s v="Meta AI"/>
        <s v="Microsoft"/>
        <s v="Mistral AI"/>
        <s v="Nvidia"/>
        <s v="OpenAI"/>
        <s v="Oracle"/>
        <s v="Palantir"/>
        <s v="Pinecone"/>
        <s v="Salesforce"/>
        <s v="SAP"/>
        <s v="Scale AI"/>
        <s v="Stability AI"/>
        <s v="Tesla"/>
        <s v="Waymo"/>
        <s v="Weaviate"/>
        <s v="Weights &amp; Biases"/>
      </sharedItems>
    </cacheField>
    <cacheField name="[Measures].[Sum of Company Rating]" caption="Sum of Company Rating" numFmtId="0" hierarchy="24" level="32767"/>
  </cacheFields>
  <cacheHierarchies count="30">
    <cacheHierarchy uniqueName="[Range].[Job ID]" caption="Job ID" attribute="1" defaultMemberUniqueName="[Range].[Job ID].[All]" allUniqueName="[Range].[Job ID].[All]" dimensionUniqueName="[Range]" displayFolder="" count="2" memberValueDatatype="20" unbalanced="0"/>
    <cacheHierarchy uniqueName="[Range].[Job Title]" caption="Job Title" attribute="1" defaultMemberUniqueName="[Range].[Job Title].[All]" allUniqueName="[Range].[Job Title].[All]" dimensionUniqueName="[Range]" displayFolder="" count="2" memberValueDatatype="130" unbalanced="0"/>
    <cacheHierarchy uniqueName="[Range].[Company]" caption="Company" attribute="1" defaultMemberUniqueName="[Range].[Company].[All]" allUniqueName="[Range].[Company].[All]" dimensionUniqueName="[Range]" displayFolder="" count="2" memberValueDatatype="130" unbalanced="0">
      <fieldsUsage count="2">
        <fieldUsage x="-1"/>
        <fieldUsage x="0"/>
      </fieldsUsage>
    </cacheHierarchy>
    <cacheHierarchy uniqueName="[Range].[Sector]" caption="Sector" attribute="1" defaultMemberUniqueName="[Range].[Sector].[All]" allUniqueName="[Range].[Sector].[All]" dimensionUniqueName="[Range]" displayFolder="" count="2" memberValueDatatype="130" unbalanced="0"/>
    <cacheHierarchy uniqueName="[Range].[Experience Level]" caption="Experience Level" attribute="1" defaultMemberUniqueName="[Range].[Experience Level].[All]" allUniqueName="[Range].[Experience Level].[All]" dimensionUniqueName="[Range]" displayFolder="" count="2" memberValueDatatype="130" unbalanced="0"/>
    <cacheHierarchy uniqueName="[Range].[Employment Type]" caption="Employment Type" attribute="1" defaultMemberUniqueName="[Range].[Employment Type].[All]" allUniqueName="[Range].[Employment Type].[All]" dimensionUniqueName="[Range]" displayFolder="" count="2" memberValueDatatype="130" unbalanced="0"/>
    <cacheHierarchy uniqueName="[Range].[Salary (USD)]" caption="Salary (USD)" attribute="1" defaultMemberUniqueName="[Range].[Salary (USD)].[All]" allUniqueName="[Range].[Salary (USD)].[All]" dimensionUniqueName="[Range]" displayFolder="" count="2" memberValueDatatype="20" unbalanced="0"/>
    <cacheHierarchy uniqueName="[Range].[Location]" caption="Location" attribute="1" defaultMemberUniqueName="[Range].[Location].[All]" allUniqueName="[Range].[Location].[All]" dimensionUniqueName="[Range]" displayFolder="" count="2" memberValueDatatype="130" unbalanced="0"/>
    <cacheHierarchy uniqueName="[Range].[Years of Experience]" caption="Years of Experience" attribute="1" defaultMemberUniqueName="[Range].[Years of Experience].[All]" allUniqueName="[Range].[Years of Experience].[All]" dimensionUniqueName="[Range]" displayFolder="" count="2" memberValueDatatype="5" unbalanced="0"/>
    <cacheHierarchy uniqueName="[Range].[Work Mode]" caption="Work Mode" attribute="1" defaultMemberUniqueName="[Range].[Work Mode].[All]" allUniqueName="[Range].[Work Mode].[All]" dimensionUniqueName="[Range]" displayFolder="" count="2" memberValueDatatype="130" unbalanced="0"/>
    <cacheHierarchy uniqueName="[Range].[Company Rating]" caption="Company Rating" attribute="1" defaultMemberUniqueName="[Range].[Company Rating].[All]" allUniqueName="[Range].[Company Rating].[All]" dimensionUniqueName="[Range]" displayFolder="" count="2" memberValueDatatype="5" unbalanced="0"/>
    <cacheHierarchy uniqueName="[Range].[Required Skills]" caption="Required Skills" attribute="1" defaultMemberUniqueName="[Range].[Required Skills].[All]" allUniqueName="[Range].[Required Skills].[All]" dimensionUniqueName="[Range]" displayFolder="" count="2" memberValueDatatype="130" unbalanced="0"/>
    <cacheHierarchy uniqueName="[Range].[Date Posted]" caption="Date Posted" attribute="1" defaultMemberUniqueName="[Range].[Date Posted].[All]" allUniqueName="[Range].[Date Posted].[All]" dimensionUniqueName="[Range]" displayFolder="" count="2" memberValueDatatype="20" unbalanced="0"/>
    <cacheHierarchy uniqueName="[Range].[Days Open]" caption="Days Open" attribute="1" defaultMemberUniqueName="[Range].[Days Open].[All]" allUniqueName="[Range].[Days Open].[All]" dimensionUniqueName="[Range]" displayFolder="" count="2" memberValueDatatype="20" unbalanced="0"/>
    <cacheHierarchy uniqueName="[Range].[Education Required]" caption="Education Required" attribute="1" defaultMemberUniqueName="[Range].[Education Required].[All]" allUniqueName="[Range].[Education Required].[All]" dimensionUniqueName="[Range]" displayFolder="" count="2" memberValueDatatype="130" unbalanced="0"/>
    <cacheHierarchy uniqueName="[Range].[YoY Growth (%)]" caption="YoY Growth (%)" attribute="1" defaultMemberUniqueName="[Range].[YoY Growth (%)].[All]" allUniqueName="[Range].[YoY Growth (%)].[All]" dimensionUniqueName="[Range]" displayFolder="" count="2"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Date Posted]" caption="Sum of Date Posted" measure="1" displayFolder="" measureGroup="Range" count="0" hidden="1">
      <extLst>
        <ext xmlns:x15="http://schemas.microsoft.com/office/spreadsheetml/2010/11/main" uri="{B97F6D7D-B522-45F9-BDA1-12C45D357490}">
          <x15:cacheHierarchy aggregatedColumn="12"/>
        </ext>
      </extLst>
    </cacheHierarchy>
    <cacheHierarchy uniqueName="[Measures].[Sum of Days Open]" caption="Sum of Days Open" measure="1" displayFolder="" measureGroup="Range" count="0" hidden="1">
      <extLst>
        <ext xmlns:x15="http://schemas.microsoft.com/office/spreadsheetml/2010/11/main" uri="{B97F6D7D-B522-45F9-BDA1-12C45D357490}">
          <x15:cacheHierarchy aggregatedColumn="13"/>
        </ext>
      </extLst>
    </cacheHierarchy>
    <cacheHierarchy uniqueName="[Measures].[Sum of YoY Growth (%)]" caption="Sum of YoY Growth (%)" measure="1" displayFolder="" measureGroup="Range" count="0" hidden="1">
      <extLst>
        <ext xmlns:x15="http://schemas.microsoft.com/office/spreadsheetml/2010/11/main" uri="{B97F6D7D-B522-45F9-BDA1-12C45D357490}">
          <x15:cacheHierarchy aggregatedColumn="15"/>
        </ext>
      </extLst>
    </cacheHierarchy>
    <cacheHierarchy uniqueName="[Measures].[Count of Employment Type]" caption="Count of Employment Type" measure="1" displayFolder="" measureGroup="Range" count="0" hidden="1">
      <extLst>
        <ext xmlns:x15="http://schemas.microsoft.com/office/spreadsheetml/2010/11/main" uri="{B97F6D7D-B522-45F9-BDA1-12C45D357490}">
          <x15:cacheHierarchy aggregatedColumn="5"/>
        </ext>
      </extLst>
    </cacheHierarchy>
    <cacheHierarchy uniqueName="[Measures].[Sum of Job ID]" caption="Sum of Job ID" measure="1" displayFolder="" measureGroup="Range" count="0" hidden="1">
      <extLst>
        <ext xmlns:x15="http://schemas.microsoft.com/office/spreadsheetml/2010/11/main" uri="{B97F6D7D-B522-45F9-BDA1-12C45D357490}">
          <x15:cacheHierarchy aggregatedColumn="0"/>
        </ext>
      </extLst>
    </cacheHierarchy>
    <cacheHierarchy uniqueName="[Measures].[Count of Company]" caption="Count of Company" measure="1" displayFolder="" measureGroup="Range" count="0" hidden="1">
      <extLst>
        <ext xmlns:x15="http://schemas.microsoft.com/office/spreadsheetml/2010/11/main" uri="{B97F6D7D-B522-45F9-BDA1-12C45D357490}">
          <x15:cacheHierarchy aggregatedColumn="2"/>
        </ext>
      </extLst>
    </cacheHierarchy>
    <cacheHierarchy uniqueName="[Measures].[Sum of Company Rating]" caption="Sum of Company Rating" measure="1" displayFolder="" measureGroup="Range" count="0" oneField="1" hidden="1">
      <fieldsUsage count="1">
        <fieldUsage x="1"/>
      </fieldsUsage>
      <extLst>
        <ext xmlns:x15="http://schemas.microsoft.com/office/spreadsheetml/2010/11/main" uri="{B97F6D7D-B522-45F9-BDA1-12C45D357490}">
          <x15:cacheHierarchy aggregatedColumn="10"/>
        </ext>
      </extLst>
    </cacheHierarchy>
    <cacheHierarchy uniqueName="[Measures].[Average of Company Rating]" caption="Average of Company Rating" measure="1" displayFolder="" measureGroup="Range" count="0" hidden="1">
      <extLst>
        <ext xmlns:x15="http://schemas.microsoft.com/office/spreadsheetml/2010/11/main" uri="{B97F6D7D-B522-45F9-BDA1-12C45D357490}">
          <x15:cacheHierarchy aggregatedColumn="10"/>
        </ext>
      </extLst>
    </cacheHierarchy>
    <cacheHierarchy uniqueName="[Measures].[Sum of Salary (USD)]" caption="Sum of Salary (USD)" measure="1" displayFolder="" measureGroup="Range" count="0" hidden="1">
      <extLst>
        <ext xmlns:x15="http://schemas.microsoft.com/office/spreadsheetml/2010/11/main" uri="{B97F6D7D-B522-45F9-BDA1-12C45D357490}">
          <x15:cacheHierarchy aggregatedColumn="6"/>
        </ext>
      </extLst>
    </cacheHierarchy>
    <cacheHierarchy uniqueName="[Measures].[Average of Salary (USD)]" caption="Average of Salary (USD)" measure="1" displayFolder="" measureGroup="Range" count="0" hidden="1">
      <extLst>
        <ext xmlns:x15="http://schemas.microsoft.com/office/spreadsheetml/2010/11/main" uri="{B97F6D7D-B522-45F9-BDA1-12C45D357490}">
          <x15:cacheHierarchy aggregatedColumn="6"/>
        </ext>
      </extLst>
    </cacheHierarchy>
    <cacheHierarchy uniqueName="[Measures].[Count of Job ID]" caption="Count of Job ID" measure="1" displayFolder="" measureGroup="Range" count="0" hidden="1">
      <extLst>
        <ext xmlns:x15="http://schemas.microsoft.com/office/spreadsheetml/2010/11/main" uri="{B97F6D7D-B522-45F9-BDA1-12C45D357490}">
          <x15:cacheHierarchy aggregatedColumn="0"/>
        </ext>
      </extLst>
    </cacheHierarchy>
    <cacheHierarchy uniqueName="[Measures].[Count of Sector]" caption="Count of Sector" measure="1" displayFolder="" measureGroup="Range"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shal" refreshedDate="46273.651110763887" backgroundQuery="1" createdVersion="7" refreshedVersion="7" minRefreshableVersion="3" recordCount="0" supportSubquery="1" supportAdvancedDrill="1" xr:uid="{BC1AD61A-0DA6-4BD9-A09D-FDD871404E8E}">
  <cacheSource type="external" connectionId="1"/>
  <cacheFields count="3">
    <cacheField name="[Measures].[Count of Company]" caption="Count of Company" numFmtId="0" hierarchy="23" level="32767"/>
    <cacheField name="[Range].[Sector].[Sector]" caption="Sector" numFmtId="0" hierarchy="3" level="1">
      <sharedItems count="8">
        <s v="Automotive"/>
        <s v="Defence"/>
        <s v="Energy"/>
        <s v="Finance"/>
        <s v="Healthcare"/>
        <s v="Media"/>
        <s v="Retail"/>
        <s v="Technology"/>
      </sharedItems>
    </cacheField>
    <cacheField name="[Range].[Company].[Company]" caption="Company" numFmtId="0" hierarchy="2" level="1">
      <sharedItems containsSemiMixedTypes="0" containsNonDate="0" containsString="0"/>
    </cacheField>
  </cacheFields>
  <cacheHierarchies count="30">
    <cacheHierarchy uniqueName="[Range].[Job ID]" caption="Job ID" attribute="1" defaultMemberUniqueName="[Range].[Job ID].[All]" allUniqueName="[Range].[Job ID].[All]" dimensionUniqueName="[Range]" displayFolder="" count="0" memberValueDatatype="20" unbalanced="0"/>
    <cacheHierarchy uniqueName="[Range].[Job Title]" caption="Job Title" attribute="1" defaultMemberUniqueName="[Range].[Job Title].[All]" allUniqueName="[Range].[Job Title].[All]" dimensionUniqueName="[Range]" displayFolder="" count="0" memberValueDatatype="130" unbalanced="0"/>
    <cacheHierarchy uniqueName="[Range].[Company]" caption="Company" attribute="1" defaultMemberUniqueName="[Range].[Company].[All]" allUniqueName="[Range].[Company].[All]" dimensionUniqueName="[Range]" displayFolder="" count="2" memberValueDatatype="130" unbalanced="0">
      <fieldsUsage count="2">
        <fieldUsage x="-1"/>
        <fieldUsage x="2"/>
      </fieldsUsage>
    </cacheHierarchy>
    <cacheHierarchy uniqueName="[Range].[Sector]" caption="Sector" attribute="1" defaultMemberUniqueName="[Range].[Sector].[All]" allUniqueName="[Range].[Sector].[All]" dimensionUniqueName="[Range]" displayFolder="" count="2" memberValueDatatype="130" unbalanced="0">
      <fieldsUsage count="2">
        <fieldUsage x="-1"/>
        <fieldUsage x="1"/>
      </fieldsUsage>
    </cacheHierarchy>
    <cacheHierarchy uniqueName="[Range].[Experience Level]" caption="Experience Level" attribute="1" defaultMemberUniqueName="[Range].[Experience Level].[All]" allUniqueName="[Range].[Experience Level].[All]" dimensionUniqueName="[Range]" displayFolder="" count="0" memberValueDatatype="130" unbalanced="0"/>
    <cacheHierarchy uniqueName="[Range].[Employment Type]" caption="Employment Type" attribute="1" defaultMemberUniqueName="[Range].[Employment Type].[All]" allUniqueName="[Range].[Employment Type].[All]" dimensionUniqueName="[Range]" displayFolder="" count="0" memberValueDatatype="130" unbalanced="0"/>
    <cacheHierarchy uniqueName="[Range].[Salary (USD)]" caption="Salary (USD)" attribute="1" defaultMemberUniqueName="[Range].[Salary (USD)].[All]" allUniqueName="[Range].[Salary (USD)].[All]" dimensionUniqueName="[Range]" displayFolder="" count="0" memberValueDatatype="20" unbalanced="0"/>
    <cacheHierarchy uniqueName="[Range].[Location]" caption="Location" attribute="1" defaultMemberUniqueName="[Range].[Location].[All]" allUniqueName="[Range].[Location].[All]" dimensionUniqueName="[Range]" displayFolder="" count="0" memberValueDatatype="130" unbalanced="0"/>
    <cacheHierarchy uniqueName="[Range].[Years of Experience]" caption="Years of Experience" attribute="1" defaultMemberUniqueName="[Range].[Years of Experience].[All]" allUniqueName="[Range].[Years of Experience].[All]" dimensionUniqueName="[Range]" displayFolder="" count="0" memberValueDatatype="5" unbalanced="0"/>
    <cacheHierarchy uniqueName="[Range].[Work Mode]" caption="Work Mode" attribute="1" defaultMemberUniqueName="[Range].[Work Mode].[All]" allUniqueName="[Range].[Work Mode].[All]" dimensionUniqueName="[Range]" displayFolder="" count="0" memberValueDatatype="130" unbalanced="0"/>
    <cacheHierarchy uniqueName="[Range].[Company Rating]" caption="Company Rating" attribute="1" defaultMemberUniqueName="[Range].[Company Rating].[All]" allUniqueName="[Range].[Company Rating].[All]" dimensionUniqueName="[Range]" displayFolder="" count="0" memberValueDatatype="5" unbalanced="0"/>
    <cacheHierarchy uniqueName="[Range].[Required Skills]" caption="Required Skills" attribute="1" defaultMemberUniqueName="[Range].[Required Skills].[All]" allUniqueName="[Range].[Required Skills].[All]" dimensionUniqueName="[Range]" displayFolder="" count="0" memberValueDatatype="130" unbalanced="0"/>
    <cacheHierarchy uniqueName="[Range].[Date Posted]" caption="Date Posted" attribute="1" defaultMemberUniqueName="[Range].[Date Posted].[All]" allUniqueName="[Range].[Date Posted].[All]" dimensionUniqueName="[Range]" displayFolder="" count="0" memberValueDatatype="20" unbalanced="0"/>
    <cacheHierarchy uniqueName="[Range].[Days Open]" caption="Days Open" attribute="1" defaultMemberUniqueName="[Range].[Days Open].[All]" allUniqueName="[Range].[Days Open].[All]" dimensionUniqueName="[Range]" displayFolder="" count="0" memberValueDatatype="20" unbalanced="0"/>
    <cacheHierarchy uniqueName="[Range].[Education Required]" caption="Education Required" attribute="1" defaultMemberUniqueName="[Range].[Education Required].[All]" allUniqueName="[Range].[Education Required].[All]" dimensionUniqueName="[Range]" displayFolder="" count="0" memberValueDatatype="130" unbalanced="0"/>
    <cacheHierarchy uniqueName="[Range].[YoY Growth (%)]" caption="YoY Growth (%)" attribute="1" defaultMemberUniqueName="[Range].[YoY Growth (%)].[All]" allUniqueName="[Range].[YoY Growth (%)].[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Date Posted]" caption="Sum of Date Posted" measure="1" displayFolder="" measureGroup="Range" count="0" hidden="1">
      <extLst>
        <ext xmlns:x15="http://schemas.microsoft.com/office/spreadsheetml/2010/11/main" uri="{B97F6D7D-B522-45F9-BDA1-12C45D357490}">
          <x15:cacheHierarchy aggregatedColumn="12"/>
        </ext>
      </extLst>
    </cacheHierarchy>
    <cacheHierarchy uniqueName="[Measures].[Sum of Days Open]" caption="Sum of Days Open" measure="1" displayFolder="" measureGroup="Range" count="0" hidden="1">
      <extLst>
        <ext xmlns:x15="http://schemas.microsoft.com/office/spreadsheetml/2010/11/main" uri="{B97F6D7D-B522-45F9-BDA1-12C45D357490}">
          <x15:cacheHierarchy aggregatedColumn="13"/>
        </ext>
      </extLst>
    </cacheHierarchy>
    <cacheHierarchy uniqueName="[Measures].[Sum of YoY Growth (%)]" caption="Sum of YoY Growth (%)" measure="1" displayFolder="" measureGroup="Range" count="0" hidden="1">
      <extLst>
        <ext xmlns:x15="http://schemas.microsoft.com/office/spreadsheetml/2010/11/main" uri="{B97F6D7D-B522-45F9-BDA1-12C45D357490}">
          <x15:cacheHierarchy aggregatedColumn="15"/>
        </ext>
      </extLst>
    </cacheHierarchy>
    <cacheHierarchy uniqueName="[Measures].[Count of Employment Type]" caption="Count of Employment Type" measure="1" displayFolder="" measureGroup="Range" count="0" hidden="1">
      <extLst>
        <ext xmlns:x15="http://schemas.microsoft.com/office/spreadsheetml/2010/11/main" uri="{B97F6D7D-B522-45F9-BDA1-12C45D357490}">
          <x15:cacheHierarchy aggregatedColumn="5"/>
        </ext>
      </extLst>
    </cacheHierarchy>
    <cacheHierarchy uniqueName="[Measures].[Sum of Job ID]" caption="Sum of Job ID" measure="1" displayFolder="" measureGroup="Range" count="0" hidden="1">
      <extLst>
        <ext xmlns:x15="http://schemas.microsoft.com/office/spreadsheetml/2010/11/main" uri="{B97F6D7D-B522-45F9-BDA1-12C45D357490}">
          <x15:cacheHierarchy aggregatedColumn="0"/>
        </ext>
      </extLst>
    </cacheHierarchy>
    <cacheHierarchy uniqueName="[Measures].[Count of Company]" caption="Count of Company" measure="1" displayFolder="" measureGroup="Range" count="0" oneField="1" hidden="1">
      <fieldsUsage count="1">
        <fieldUsage x="0"/>
      </fieldsUsage>
      <extLst>
        <ext xmlns:x15="http://schemas.microsoft.com/office/spreadsheetml/2010/11/main" uri="{B97F6D7D-B522-45F9-BDA1-12C45D357490}">
          <x15:cacheHierarchy aggregatedColumn="2"/>
        </ext>
      </extLst>
    </cacheHierarchy>
    <cacheHierarchy uniqueName="[Measures].[Sum of Company Rating]" caption="Sum of Company Rating" measure="1" displayFolder="" measureGroup="Range" count="0" hidden="1">
      <extLst>
        <ext xmlns:x15="http://schemas.microsoft.com/office/spreadsheetml/2010/11/main" uri="{B97F6D7D-B522-45F9-BDA1-12C45D357490}">
          <x15:cacheHierarchy aggregatedColumn="10"/>
        </ext>
      </extLst>
    </cacheHierarchy>
    <cacheHierarchy uniqueName="[Measures].[Average of Company Rating]" caption="Average of Company Rating" measure="1" displayFolder="" measureGroup="Range" count="0" hidden="1">
      <extLst>
        <ext xmlns:x15="http://schemas.microsoft.com/office/spreadsheetml/2010/11/main" uri="{B97F6D7D-B522-45F9-BDA1-12C45D357490}">
          <x15:cacheHierarchy aggregatedColumn="10"/>
        </ext>
      </extLst>
    </cacheHierarchy>
    <cacheHierarchy uniqueName="[Measures].[Sum of Salary (USD)]" caption="Sum of Salary (USD)" measure="1" displayFolder="" measureGroup="Range" count="0" hidden="1">
      <extLst>
        <ext xmlns:x15="http://schemas.microsoft.com/office/spreadsheetml/2010/11/main" uri="{B97F6D7D-B522-45F9-BDA1-12C45D357490}">
          <x15:cacheHierarchy aggregatedColumn="6"/>
        </ext>
      </extLst>
    </cacheHierarchy>
    <cacheHierarchy uniqueName="[Measures].[Average of Salary (USD)]" caption="Average of Salary (USD)" measure="1" displayFolder="" measureGroup="Range" count="0" hidden="1">
      <extLst>
        <ext xmlns:x15="http://schemas.microsoft.com/office/spreadsheetml/2010/11/main" uri="{B97F6D7D-B522-45F9-BDA1-12C45D357490}">
          <x15:cacheHierarchy aggregatedColumn="6"/>
        </ext>
      </extLst>
    </cacheHierarchy>
    <cacheHierarchy uniqueName="[Measures].[Count of Job ID]" caption="Count of Job ID" measure="1" displayFolder="" measureGroup="Range" count="0" hidden="1">
      <extLst>
        <ext xmlns:x15="http://schemas.microsoft.com/office/spreadsheetml/2010/11/main" uri="{B97F6D7D-B522-45F9-BDA1-12C45D357490}">
          <x15:cacheHierarchy aggregatedColumn="0"/>
        </ext>
      </extLst>
    </cacheHierarchy>
    <cacheHierarchy uniqueName="[Measures].[Count of Sector]" caption="Count of Sector" measure="1" displayFolder="" measureGroup="Range"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shal" refreshedDate="46273.65111111111" backgroundQuery="1" createdVersion="7" refreshedVersion="7" minRefreshableVersion="3" recordCount="0" supportSubquery="1" supportAdvancedDrill="1" xr:uid="{95C3271E-4B14-4AE0-9011-D827E0512F0E}">
  <cacheSource type="external" connectionId="1"/>
  <cacheFields count="3">
    <cacheField name="[Range].[Job Title].[Job Title]" caption="Job Title" numFmtId="0" hierarchy="1" level="1">
      <sharedItems count="15">
        <s v="AI Analyst"/>
        <s v="AI Engineer"/>
        <s v="AI Ethics Researcher"/>
        <s v="AI Product Manager"/>
        <s v="AI Research Scientist"/>
        <s v="AI/ML Architect"/>
        <s v="Computer Vision Engineer"/>
        <s v="Data Scientist"/>
        <s v="Deep Learning Engineer"/>
        <s v="LLM Fine-tune Specialist"/>
        <s v="ML Engineer"/>
        <s v="MLOps Engineer"/>
        <s v="NLP Engineer"/>
        <s v="Prompt Engineer"/>
        <s v="Robotics AI Engineer"/>
      </sharedItems>
    </cacheField>
    <cacheField name="[Measures].[Sum of Date Posted]" caption="Sum of Date Posted" numFmtId="0" hierarchy="18" level="32767"/>
    <cacheField name="[Range].[Company].[Company]" caption="Company" numFmtId="0" hierarchy="2" level="1">
      <sharedItems containsSemiMixedTypes="0" containsNonDate="0" containsString="0"/>
    </cacheField>
  </cacheFields>
  <cacheHierarchies count="30">
    <cacheHierarchy uniqueName="[Range].[Job ID]" caption="Job ID" attribute="1" defaultMemberUniqueName="[Range].[Job ID].[All]" allUniqueName="[Range].[Job ID].[All]" dimensionUniqueName="[Range]" displayFolder="" count="0" memberValueDatatype="20" unbalanced="0"/>
    <cacheHierarchy uniqueName="[Range].[Job Title]" caption="Job Title" attribute="1" defaultMemberUniqueName="[Range].[Job Title].[All]" allUniqueName="[Range].[Job Title].[All]" dimensionUniqueName="[Range]" displayFolder="" count="2" memberValueDatatype="130" unbalanced="0">
      <fieldsUsage count="2">
        <fieldUsage x="-1"/>
        <fieldUsage x="0"/>
      </fieldsUsage>
    </cacheHierarchy>
    <cacheHierarchy uniqueName="[Range].[Company]" caption="Company" attribute="1" defaultMemberUniqueName="[Range].[Company].[All]" allUniqueName="[Range].[Company].[All]" dimensionUniqueName="[Range]" displayFolder="" count="2" memberValueDatatype="130" unbalanced="0">
      <fieldsUsage count="2">
        <fieldUsage x="-1"/>
        <fieldUsage x="2"/>
      </fieldsUsage>
    </cacheHierarchy>
    <cacheHierarchy uniqueName="[Range].[Sector]" caption="Sector" attribute="1" defaultMemberUniqueName="[Range].[Sector].[All]" allUniqueName="[Range].[Sector].[All]" dimensionUniqueName="[Range]" displayFolder="" count="2" memberValueDatatype="130" unbalanced="0"/>
    <cacheHierarchy uniqueName="[Range].[Experience Level]" caption="Experience Level" attribute="1" defaultMemberUniqueName="[Range].[Experience Level].[All]" allUniqueName="[Range].[Experience Level].[All]" dimensionUniqueName="[Range]" displayFolder="" count="0" memberValueDatatype="130" unbalanced="0"/>
    <cacheHierarchy uniqueName="[Range].[Employment Type]" caption="Employment Type" attribute="1" defaultMemberUniqueName="[Range].[Employment Type].[All]" allUniqueName="[Range].[Employment Type].[All]" dimensionUniqueName="[Range]" displayFolder="" count="0" memberValueDatatype="130" unbalanced="0"/>
    <cacheHierarchy uniqueName="[Range].[Salary (USD)]" caption="Salary (USD)" attribute="1" defaultMemberUniqueName="[Range].[Salary (USD)].[All]" allUniqueName="[Range].[Salary (USD)].[All]" dimensionUniqueName="[Range]" displayFolder="" count="0" memberValueDatatype="20" unbalanced="0"/>
    <cacheHierarchy uniqueName="[Range].[Location]" caption="Location" attribute="1" defaultMemberUniqueName="[Range].[Location].[All]" allUniqueName="[Range].[Location].[All]" dimensionUniqueName="[Range]" displayFolder="" count="0" memberValueDatatype="130" unbalanced="0"/>
    <cacheHierarchy uniqueName="[Range].[Years of Experience]" caption="Years of Experience" attribute="1" defaultMemberUniqueName="[Range].[Years of Experience].[All]" allUniqueName="[Range].[Years of Experience].[All]" dimensionUniqueName="[Range]" displayFolder="" count="0" memberValueDatatype="5" unbalanced="0"/>
    <cacheHierarchy uniqueName="[Range].[Work Mode]" caption="Work Mode" attribute="1" defaultMemberUniqueName="[Range].[Work Mode].[All]" allUniqueName="[Range].[Work Mode].[All]" dimensionUniqueName="[Range]" displayFolder="" count="0" memberValueDatatype="130" unbalanced="0"/>
    <cacheHierarchy uniqueName="[Range].[Company Rating]" caption="Company Rating" attribute="1" defaultMemberUniqueName="[Range].[Company Rating].[All]" allUniqueName="[Range].[Company Rating].[All]" dimensionUniqueName="[Range]" displayFolder="" count="0" memberValueDatatype="5" unbalanced="0"/>
    <cacheHierarchy uniqueName="[Range].[Required Skills]" caption="Required Skills" attribute="1" defaultMemberUniqueName="[Range].[Required Skills].[All]" allUniqueName="[Range].[Required Skills].[All]" dimensionUniqueName="[Range]" displayFolder="" count="0" memberValueDatatype="130" unbalanced="0"/>
    <cacheHierarchy uniqueName="[Range].[Date Posted]" caption="Date Posted" attribute="1" defaultMemberUniqueName="[Range].[Date Posted].[All]" allUniqueName="[Range].[Date Posted].[All]" dimensionUniqueName="[Range]" displayFolder="" count="0" memberValueDatatype="20" unbalanced="0"/>
    <cacheHierarchy uniqueName="[Range].[Days Open]" caption="Days Open" attribute="1" defaultMemberUniqueName="[Range].[Days Open].[All]" allUniqueName="[Range].[Days Open].[All]" dimensionUniqueName="[Range]" displayFolder="" count="0" memberValueDatatype="20" unbalanced="0"/>
    <cacheHierarchy uniqueName="[Range].[Education Required]" caption="Education Required" attribute="1" defaultMemberUniqueName="[Range].[Education Required].[All]" allUniqueName="[Range].[Education Required].[All]" dimensionUniqueName="[Range]" displayFolder="" count="0" memberValueDatatype="130" unbalanced="0"/>
    <cacheHierarchy uniqueName="[Range].[YoY Growth (%)]" caption="YoY Growth (%)" attribute="1" defaultMemberUniqueName="[Range].[YoY Growth (%)].[All]" allUniqueName="[Range].[YoY Growth (%)].[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Date Posted]" caption="Sum of Date Posted" measure="1" displayFolder="" measureGroup="Range"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Days Open]" caption="Sum of Days Open" measure="1" displayFolder="" measureGroup="Range" count="0" hidden="1">
      <extLst>
        <ext xmlns:x15="http://schemas.microsoft.com/office/spreadsheetml/2010/11/main" uri="{B97F6D7D-B522-45F9-BDA1-12C45D357490}">
          <x15:cacheHierarchy aggregatedColumn="13"/>
        </ext>
      </extLst>
    </cacheHierarchy>
    <cacheHierarchy uniqueName="[Measures].[Sum of YoY Growth (%)]" caption="Sum of YoY Growth (%)" measure="1" displayFolder="" measureGroup="Range" count="0" hidden="1">
      <extLst>
        <ext xmlns:x15="http://schemas.microsoft.com/office/spreadsheetml/2010/11/main" uri="{B97F6D7D-B522-45F9-BDA1-12C45D357490}">
          <x15:cacheHierarchy aggregatedColumn="15"/>
        </ext>
      </extLst>
    </cacheHierarchy>
    <cacheHierarchy uniqueName="[Measures].[Count of Employment Type]" caption="Count of Employment Type" measure="1" displayFolder="" measureGroup="Range" count="0" hidden="1">
      <extLst>
        <ext xmlns:x15="http://schemas.microsoft.com/office/spreadsheetml/2010/11/main" uri="{B97F6D7D-B522-45F9-BDA1-12C45D357490}">
          <x15:cacheHierarchy aggregatedColumn="5"/>
        </ext>
      </extLst>
    </cacheHierarchy>
    <cacheHierarchy uniqueName="[Measures].[Sum of Job ID]" caption="Sum of Job ID" measure="1" displayFolder="" measureGroup="Range" count="0" hidden="1">
      <extLst>
        <ext xmlns:x15="http://schemas.microsoft.com/office/spreadsheetml/2010/11/main" uri="{B97F6D7D-B522-45F9-BDA1-12C45D357490}">
          <x15:cacheHierarchy aggregatedColumn="0"/>
        </ext>
      </extLst>
    </cacheHierarchy>
    <cacheHierarchy uniqueName="[Measures].[Count of Company]" caption="Count of Company" measure="1" displayFolder="" measureGroup="Range" count="0" hidden="1">
      <extLst>
        <ext xmlns:x15="http://schemas.microsoft.com/office/spreadsheetml/2010/11/main" uri="{B97F6D7D-B522-45F9-BDA1-12C45D357490}">
          <x15:cacheHierarchy aggregatedColumn="2"/>
        </ext>
      </extLst>
    </cacheHierarchy>
    <cacheHierarchy uniqueName="[Measures].[Sum of Company Rating]" caption="Sum of Company Rating" measure="1" displayFolder="" measureGroup="Range" count="0" hidden="1">
      <extLst>
        <ext xmlns:x15="http://schemas.microsoft.com/office/spreadsheetml/2010/11/main" uri="{B97F6D7D-B522-45F9-BDA1-12C45D357490}">
          <x15:cacheHierarchy aggregatedColumn="10"/>
        </ext>
      </extLst>
    </cacheHierarchy>
    <cacheHierarchy uniqueName="[Measures].[Average of Company Rating]" caption="Average of Company Rating" measure="1" displayFolder="" measureGroup="Range" count="0" hidden="1">
      <extLst>
        <ext xmlns:x15="http://schemas.microsoft.com/office/spreadsheetml/2010/11/main" uri="{B97F6D7D-B522-45F9-BDA1-12C45D357490}">
          <x15:cacheHierarchy aggregatedColumn="10"/>
        </ext>
      </extLst>
    </cacheHierarchy>
    <cacheHierarchy uniqueName="[Measures].[Sum of Salary (USD)]" caption="Sum of Salary (USD)" measure="1" displayFolder="" measureGroup="Range" count="0" hidden="1">
      <extLst>
        <ext xmlns:x15="http://schemas.microsoft.com/office/spreadsheetml/2010/11/main" uri="{B97F6D7D-B522-45F9-BDA1-12C45D357490}">
          <x15:cacheHierarchy aggregatedColumn="6"/>
        </ext>
      </extLst>
    </cacheHierarchy>
    <cacheHierarchy uniqueName="[Measures].[Average of Salary (USD)]" caption="Average of Salary (USD)" measure="1" displayFolder="" measureGroup="Range" count="0" hidden="1">
      <extLst>
        <ext xmlns:x15="http://schemas.microsoft.com/office/spreadsheetml/2010/11/main" uri="{B97F6D7D-B522-45F9-BDA1-12C45D357490}">
          <x15:cacheHierarchy aggregatedColumn="6"/>
        </ext>
      </extLst>
    </cacheHierarchy>
    <cacheHierarchy uniqueName="[Measures].[Count of Job ID]" caption="Count of Job ID" measure="1" displayFolder="" measureGroup="Range" count="0" hidden="1">
      <extLst>
        <ext xmlns:x15="http://schemas.microsoft.com/office/spreadsheetml/2010/11/main" uri="{B97F6D7D-B522-45F9-BDA1-12C45D357490}">
          <x15:cacheHierarchy aggregatedColumn="0"/>
        </ext>
      </extLst>
    </cacheHierarchy>
    <cacheHierarchy uniqueName="[Measures].[Count of Sector]" caption="Count of Sector" measure="1" displayFolder="" measureGroup="Range"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shal" refreshedDate="46272.817201736114" backgroundQuery="1" createdVersion="3" refreshedVersion="7" minRefreshableVersion="3" recordCount="0" supportSubquery="1" supportAdvancedDrill="1" xr:uid="{29D1341E-0EA5-46F2-A0DA-789044BCD1B1}">
  <cacheSource type="external" connectionId="1">
    <extLst>
      <ext xmlns:x14="http://schemas.microsoft.com/office/spreadsheetml/2009/9/main" uri="{F057638F-6D5F-4e77-A914-E7F072B9BCA8}">
        <x14:sourceConnection name="ThisWorkbookDataModel"/>
      </ext>
    </extLst>
  </cacheSource>
  <cacheFields count="0"/>
  <cacheHierarchies count="29">
    <cacheHierarchy uniqueName="[Range].[Job ID]" caption="Job ID" attribute="1" defaultMemberUniqueName="[Range].[Job ID].[All]" allUniqueName="[Range].[Job ID].[All]" dimensionUniqueName="[Range]" displayFolder="" count="0" memberValueDatatype="20" unbalanced="0"/>
    <cacheHierarchy uniqueName="[Range].[Job Title]" caption="Job Title" attribute="1" defaultMemberUniqueName="[Range].[Job Title].[All]" allUniqueName="[Range].[Job Title].[All]" dimensionUniqueName="[Range]" displayFolder="" count="0" memberValueDatatype="130" unbalanced="0"/>
    <cacheHierarchy uniqueName="[Range].[Company]" caption="Company" attribute="1" defaultMemberUniqueName="[Range].[Company].[All]" allUniqueName="[Range].[Company].[All]" dimensionUniqueName="[Range]" displayFolder="" count="2" memberValueDatatype="130" unbalanced="0"/>
    <cacheHierarchy uniqueName="[Range].[Sector]" caption="Sector" attribute="1" defaultMemberUniqueName="[Range].[Sector].[All]" allUniqueName="[Range].[Sector].[All]" dimensionUniqueName="[Range]" displayFolder="" count="2" memberValueDatatype="130" unbalanced="0"/>
    <cacheHierarchy uniqueName="[Range].[Experience Level]" caption="Experience Level" attribute="1" defaultMemberUniqueName="[Range].[Experience Level].[All]" allUniqueName="[Range].[Experience Level].[All]" dimensionUniqueName="[Range]" displayFolder="" count="0" memberValueDatatype="130" unbalanced="0"/>
    <cacheHierarchy uniqueName="[Range].[Employment Type]" caption="Employment Type" attribute="1" defaultMemberUniqueName="[Range].[Employment Type].[All]" allUniqueName="[Range].[Employment Type].[All]" dimensionUniqueName="[Range]" displayFolder="" count="0" memberValueDatatype="130" unbalanced="0"/>
    <cacheHierarchy uniqueName="[Range].[Salary (USD)]" caption="Salary (USD)" attribute="1" defaultMemberUniqueName="[Range].[Salary (USD)].[All]" allUniqueName="[Range].[Salary (USD)].[All]" dimensionUniqueName="[Range]" displayFolder="" count="0" memberValueDatatype="20" unbalanced="0"/>
    <cacheHierarchy uniqueName="[Range].[Location]" caption="Location" attribute="1" defaultMemberUniqueName="[Range].[Location].[All]" allUniqueName="[Range].[Location].[All]" dimensionUniqueName="[Range]" displayFolder="" count="0" memberValueDatatype="130" unbalanced="0"/>
    <cacheHierarchy uniqueName="[Range].[Years of Experience]" caption="Years of Experience" attribute="1" defaultMemberUniqueName="[Range].[Years of Experience].[All]" allUniqueName="[Range].[Years of Experience].[All]" dimensionUniqueName="[Range]" displayFolder="" count="0" memberValueDatatype="5" unbalanced="0"/>
    <cacheHierarchy uniqueName="[Range].[Work Mode]" caption="Work Mode" attribute="1" defaultMemberUniqueName="[Range].[Work Mode].[All]" allUniqueName="[Range].[Work Mode].[All]" dimensionUniqueName="[Range]" displayFolder="" count="0" memberValueDatatype="130" unbalanced="0"/>
    <cacheHierarchy uniqueName="[Range].[Company Rating]" caption="Company Rating" attribute="1" defaultMemberUniqueName="[Range].[Company Rating].[All]" allUniqueName="[Range].[Company Rating].[All]" dimensionUniqueName="[Range]" displayFolder="" count="0" memberValueDatatype="5" unbalanced="0"/>
    <cacheHierarchy uniqueName="[Range].[Required Skills]" caption="Required Skills" attribute="1" defaultMemberUniqueName="[Range].[Required Skills].[All]" allUniqueName="[Range].[Required Skills].[All]" dimensionUniqueName="[Range]" displayFolder="" count="0" memberValueDatatype="130" unbalanced="0"/>
    <cacheHierarchy uniqueName="[Range].[Date Posted]" caption="Date Posted" attribute="1" defaultMemberUniqueName="[Range].[Date Posted].[All]" allUniqueName="[Range].[Date Posted].[All]" dimensionUniqueName="[Range]" displayFolder="" count="0" memberValueDatatype="20" unbalanced="0"/>
    <cacheHierarchy uniqueName="[Range].[Days Open]" caption="Days Open" attribute="1" defaultMemberUniqueName="[Range].[Days Open].[All]" allUniqueName="[Range].[Days Open].[All]" dimensionUniqueName="[Range]" displayFolder="" count="0" memberValueDatatype="20" unbalanced="0"/>
    <cacheHierarchy uniqueName="[Range].[Education Required]" caption="Education Required" attribute="1" defaultMemberUniqueName="[Range].[Education Required].[All]" allUniqueName="[Range].[Education Required].[All]" dimensionUniqueName="[Range]" displayFolder="" count="0" memberValueDatatype="130" unbalanced="0"/>
    <cacheHierarchy uniqueName="[Range].[YoY Growth (%)]" caption="YoY Growth (%)" attribute="1" defaultMemberUniqueName="[Range].[YoY Growth (%)].[All]" allUniqueName="[Range].[YoY Growth (%)].[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Date Posted]" caption="Sum of Date Posted" measure="1" displayFolder="" measureGroup="Range" count="0" hidden="1">
      <extLst>
        <ext xmlns:x15="http://schemas.microsoft.com/office/spreadsheetml/2010/11/main" uri="{B97F6D7D-B522-45F9-BDA1-12C45D357490}">
          <x15:cacheHierarchy aggregatedColumn="12"/>
        </ext>
      </extLst>
    </cacheHierarchy>
    <cacheHierarchy uniqueName="[Measures].[Sum of Days Open]" caption="Sum of Days Open" measure="1" displayFolder="" measureGroup="Range" count="0" hidden="1">
      <extLst>
        <ext xmlns:x15="http://schemas.microsoft.com/office/spreadsheetml/2010/11/main" uri="{B97F6D7D-B522-45F9-BDA1-12C45D357490}">
          <x15:cacheHierarchy aggregatedColumn="13"/>
        </ext>
      </extLst>
    </cacheHierarchy>
    <cacheHierarchy uniqueName="[Measures].[Sum of YoY Growth (%)]" caption="Sum of YoY Growth (%)" measure="1" displayFolder="" measureGroup="Range" count="0" hidden="1">
      <extLst>
        <ext xmlns:x15="http://schemas.microsoft.com/office/spreadsheetml/2010/11/main" uri="{B97F6D7D-B522-45F9-BDA1-12C45D357490}">
          <x15:cacheHierarchy aggregatedColumn="15"/>
        </ext>
      </extLst>
    </cacheHierarchy>
    <cacheHierarchy uniqueName="[Measures].[Count of Employment Type]" caption="Count of Employment Type" measure="1" displayFolder="" measureGroup="Range" count="0" hidden="1">
      <extLst>
        <ext xmlns:x15="http://schemas.microsoft.com/office/spreadsheetml/2010/11/main" uri="{B97F6D7D-B522-45F9-BDA1-12C45D357490}">
          <x15:cacheHierarchy aggregatedColumn="5"/>
        </ext>
      </extLst>
    </cacheHierarchy>
    <cacheHierarchy uniqueName="[Measures].[Sum of Job ID]" caption="Sum of Job ID" measure="1" displayFolder="" measureGroup="Range" count="0" hidden="1">
      <extLst>
        <ext xmlns:x15="http://schemas.microsoft.com/office/spreadsheetml/2010/11/main" uri="{B97F6D7D-B522-45F9-BDA1-12C45D357490}">
          <x15:cacheHierarchy aggregatedColumn="0"/>
        </ext>
      </extLst>
    </cacheHierarchy>
    <cacheHierarchy uniqueName="[Measures].[Count of Company]" caption="Count of Company" measure="1" displayFolder="" measureGroup="Range" count="0" hidden="1">
      <extLst>
        <ext xmlns:x15="http://schemas.microsoft.com/office/spreadsheetml/2010/11/main" uri="{B97F6D7D-B522-45F9-BDA1-12C45D357490}">
          <x15:cacheHierarchy aggregatedColumn="2"/>
        </ext>
      </extLst>
    </cacheHierarchy>
    <cacheHierarchy uniqueName="[Measures].[Sum of Company Rating]" caption="Sum of Company Rating" measure="1" displayFolder="" measureGroup="Range" count="0" hidden="1">
      <extLst>
        <ext xmlns:x15="http://schemas.microsoft.com/office/spreadsheetml/2010/11/main" uri="{B97F6D7D-B522-45F9-BDA1-12C45D357490}">
          <x15:cacheHierarchy aggregatedColumn="10"/>
        </ext>
      </extLst>
    </cacheHierarchy>
    <cacheHierarchy uniqueName="[Measures].[Average of Company Rating]" caption="Average of Company Rating" measure="1" displayFolder="" measureGroup="Range" count="0" hidden="1">
      <extLst>
        <ext xmlns:x15="http://schemas.microsoft.com/office/spreadsheetml/2010/11/main" uri="{B97F6D7D-B522-45F9-BDA1-12C45D357490}">
          <x15:cacheHierarchy aggregatedColumn="10"/>
        </ext>
      </extLst>
    </cacheHierarchy>
    <cacheHierarchy uniqueName="[Measures].[Sum of Salary (USD)]" caption="Sum of Salary (USD)" measure="1" displayFolder="" measureGroup="Range" count="0" hidden="1">
      <extLst>
        <ext xmlns:x15="http://schemas.microsoft.com/office/spreadsheetml/2010/11/main" uri="{B97F6D7D-B522-45F9-BDA1-12C45D357490}">
          <x15:cacheHierarchy aggregatedColumn="6"/>
        </ext>
      </extLst>
    </cacheHierarchy>
    <cacheHierarchy uniqueName="[Measures].[Average of Salary (USD)]" caption="Average of Salary (USD)" measure="1" displayFolder="" measureGroup="Range" count="0" hidden="1">
      <extLst>
        <ext xmlns:x15="http://schemas.microsoft.com/office/spreadsheetml/2010/11/main" uri="{B97F6D7D-B522-45F9-BDA1-12C45D357490}">
          <x15:cacheHierarchy aggregatedColumn="6"/>
        </ext>
      </extLst>
    </cacheHierarchy>
    <cacheHierarchy uniqueName="[Measures].[Count of Job ID]" caption="Count of Job ID" measure="1" displayFolder="" measureGroup="Range" count="0" hidden="1">
      <extLst>
        <ext xmlns:x15="http://schemas.microsoft.com/office/spreadsheetml/2010/11/main" uri="{B97F6D7D-B522-45F9-BDA1-12C45D357490}">
          <x15:cacheHierarchy aggregatedColumn="0"/>
        </ext>
      </extLst>
    </cacheHierarchy>
  </cacheHierarchies>
  <kpis count="0"/>
  <extLst>
    <ext xmlns:x14="http://schemas.microsoft.com/office/spreadsheetml/2009/9/main" uri="{725AE2AE-9491-48be-B2B4-4EB974FC3084}">
      <x14:pivotCacheDefinition slicerData="1" pivotCacheId="2098677534"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n v="1"/>
    <x v="0"/>
    <x v="0"/>
    <x v="0"/>
    <x v="0"/>
    <x v="0"/>
    <x v="0"/>
    <s v="Austin, TX"/>
    <n v="7.7"/>
    <s v="Hybrid"/>
    <n v="3.2"/>
    <x v="0"/>
    <n v="45593"/>
    <n v="37"/>
    <s v="Self-taught"/>
    <n v="-2.6"/>
  </r>
  <r>
    <n v="2"/>
    <x v="1"/>
    <x v="1"/>
    <x v="1"/>
    <x v="1"/>
    <x v="0"/>
    <x v="1"/>
    <s v="San Francisco, CA"/>
    <n v="4.3"/>
    <s v="Remote"/>
    <n v="3.8"/>
    <x v="1"/>
    <n v="45526"/>
    <n v="10"/>
    <s v="Bootcamp"/>
    <n v="3.7"/>
  </r>
  <r>
    <n v="3"/>
    <x v="2"/>
    <x v="2"/>
    <x v="2"/>
    <x v="2"/>
    <x v="1"/>
    <x v="2"/>
    <s v="Austin, TX"/>
    <n v="1.9"/>
    <s v="Remote"/>
    <n v="4.0999999999999996"/>
    <x v="2"/>
    <n v="45834"/>
    <n v="9"/>
    <s v="Bachelor's"/>
    <n v="54.5"/>
  </r>
  <r>
    <n v="4"/>
    <x v="3"/>
    <x v="3"/>
    <x v="3"/>
    <x v="1"/>
    <x v="2"/>
    <x v="3"/>
    <s v="Atlanta, GA"/>
    <n v="3.4"/>
    <s v="Hybrid"/>
    <n v="3.3"/>
    <x v="3"/>
    <n v="45823"/>
    <n v="46"/>
    <s v="Bachelor's"/>
    <n v="49.8"/>
  </r>
  <r>
    <n v="5"/>
    <x v="4"/>
    <x v="4"/>
    <x v="4"/>
    <x v="1"/>
    <x v="0"/>
    <x v="4"/>
    <s v="Denver, CO"/>
    <n v="4.0999999999999996"/>
    <s v="Hybrid"/>
    <n v="4.5999999999999996"/>
    <x v="4"/>
    <n v="45635"/>
    <n v="30"/>
    <s v="PhD"/>
    <n v="1"/>
  </r>
  <r>
    <n v="6"/>
    <x v="5"/>
    <x v="5"/>
    <x v="5"/>
    <x v="1"/>
    <x v="0"/>
    <x v="5"/>
    <s v="Berlin, Germany"/>
    <n v="2.4"/>
    <s v="Remote"/>
    <n v="4.5"/>
    <x v="5"/>
    <n v="45678"/>
    <n v="28"/>
    <s v="Master's"/>
    <n v="84.8"/>
  </r>
  <r>
    <n v="7"/>
    <x v="4"/>
    <x v="6"/>
    <x v="6"/>
    <x v="2"/>
    <x v="1"/>
    <x v="6"/>
    <s v="Boston, MA"/>
    <n v="1.3"/>
    <s v="On-site"/>
    <n v="3.8"/>
    <x v="6"/>
    <n v="45713"/>
    <n v="38"/>
    <s v="PhD"/>
    <n v="82.4"/>
  </r>
  <r>
    <n v="8"/>
    <x v="2"/>
    <x v="7"/>
    <x v="3"/>
    <x v="3"/>
    <x v="1"/>
    <x v="7"/>
    <s v="Remote"/>
    <n v="10.9"/>
    <s v="Remote"/>
    <n v="3.9"/>
    <x v="7"/>
    <n v="45733"/>
    <n v="63"/>
    <s v="Bachelor's"/>
    <n v="73.3"/>
  </r>
  <r>
    <n v="9"/>
    <x v="6"/>
    <x v="8"/>
    <x v="4"/>
    <x v="1"/>
    <x v="0"/>
    <x v="8"/>
    <s v="San Francisco, CA"/>
    <n v="3.8"/>
    <s v="Remote"/>
    <n v="3.2"/>
    <x v="8"/>
    <n v="45596"/>
    <n v="8"/>
    <s v="Master's"/>
    <n v="74"/>
  </r>
  <r>
    <n v="10"/>
    <x v="7"/>
    <x v="9"/>
    <x v="6"/>
    <x v="2"/>
    <x v="3"/>
    <x v="9"/>
    <s v="Boston, MA"/>
    <n v="0.3"/>
    <s v="Hybrid"/>
    <n v="4.0999999999999996"/>
    <x v="9"/>
    <n v="45582"/>
    <n v="64"/>
    <s v="Self-taught"/>
    <n v="63"/>
  </r>
  <r>
    <n v="11"/>
    <x v="8"/>
    <x v="10"/>
    <x v="2"/>
    <x v="4"/>
    <x v="3"/>
    <x v="10"/>
    <s v="Remote"/>
    <n v="9.1999999999999993"/>
    <s v="Remote"/>
    <n v="3.2"/>
    <x v="10"/>
    <n v="45775"/>
    <n v="40"/>
    <s v="Master's"/>
    <n v="48"/>
  </r>
  <r>
    <n v="12"/>
    <x v="9"/>
    <x v="9"/>
    <x v="0"/>
    <x v="1"/>
    <x v="0"/>
    <x v="4"/>
    <s v="Remote"/>
    <n v="2.2000000000000002"/>
    <s v="Remote"/>
    <n v="4.3"/>
    <x v="11"/>
    <n v="45766"/>
    <n v="41"/>
    <s v="Bootcamp"/>
    <n v="16.899999999999999"/>
  </r>
  <r>
    <n v="13"/>
    <x v="10"/>
    <x v="11"/>
    <x v="1"/>
    <x v="1"/>
    <x v="0"/>
    <x v="11"/>
    <s v="Remote"/>
    <n v="3.3"/>
    <s v="Remote"/>
    <n v="4.5"/>
    <x v="12"/>
    <n v="45647"/>
    <n v="56"/>
    <s v="Bachelor's"/>
    <n v="17.399999999999999"/>
  </r>
  <r>
    <n v="14"/>
    <x v="1"/>
    <x v="4"/>
    <x v="6"/>
    <x v="1"/>
    <x v="0"/>
    <x v="1"/>
    <s v="Berlin, Germany"/>
    <n v="2.7"/>
    <s v="On-site"/>
    <n v="3.9"/>
    <x v="13"/>
    <n v="45521"/>
    <n v="64"/>
    <s v="Master's"/>
    <n v="10"/>
  </r>
  <r>
    <n v="15"/>
    <x v="10"/>
    <x v="12"/>
    <x v="4"/>
    <x v="4"/>
    <x v="2"/>
    <x v="12"/>
    <s v="London, UK"/>
    <n v="7"/>
    <s v="Remote"/>
    <n v="4.9000000000000004"/>
    <x v="14"/>
    <n v="45758"/>
    <n v="47"/>
    <s v="Bootcamp"/>
    <n v="8.9"/>
  </r>
  <r>
    <n v="16"/>
    <x v="6"/>
    <x v="10"/>
    <x v="0"/>
    <x v="3"/>
    <x v="1"/>
    <x v="13"/>
    <s v="Remote"/>
    <n v="10.5"/>
    <s v="Hybrid"/>
    <n v="4"/>
    <x v="15"/>
    <n v="45509"/>
    <n v="43"/>
    <s v="Bachelor's"/>
    <n v="55.8"/>
  </r>
  <r>
    <n v="17"/>
    <x v="1"/>
    <x v="13"/>
    <x v="3"/>
    <x v="3"/>
    <x v="0"/>
    <x v="14"/>
    <s v="New York, NY"/>
    <n v="15"/>
    <s v="Remote"/>
    <n v="4.2"/>
    <x v="16"/>
    <n v="45596"/>
    <n v="21"/>
    <s v="Bootcamp"/>
    <n v="6.8"/>
  </r>
  <r>
    <n v="18"/>
    <x v="0"/>
    <x v="3"/>
    <x v="6"/>
    <x v="0"/>
    <x v="2"/>
    <x v="15"/>
    <s v="San Francisco, CA"/>
    <n v="6.8"/>
    <s v="On-site"/>
    <n v="5"/>
    <x v="17"/>
    <n v="45609"/>
    <n v="13"/>
    <s v="PhD"/>
    <n v="74.3"/>
  </r>
  <r>
    <n v="19"/>
    <x v="5"/>
    <x v="14"/>
    <x v="5"/>
    <x v="0"/>
    <x v="0"/>
    <x v="16"/>
    <s v="Remote"/>
    <n v="7.4"/>
    <s v="On-site"/>
    <n v="4.3"/>
    <x v="18"/>
    <n v="45627"/>
    <n v="64"/>
    <s v="Bachelor's"/>
    <n v="79.5"/>
  </r>
  <r>
    <n v="20"/>
    <x v="4"/>
    <x v="15"/>
    <x v="3"/>
    <x v="2"/>
    <x v="1"/>
    <x v="17"/>
    <s v="Atlanta, GA"/>
    <n v="0.6"/>
    <s v="Remote"/>
    <n v="3.7"/>
    <x v="19"/>
    <n v="45602"/>
    <n v="62"/>
    <s v="Bachelor's"/>
    <n v="3.3"/>
  </r>
  <r>
    <n v="21"/>
    <x v="11"/>
    <x v="8"/>
    <x v="2"/>
    <x v="2"/>
    <x v="0"/>
    <x v="18"/>
    <s v="Atlanta, GA"/>
    <n v="0.3"/>
    <s v="Hybrid"/>
    <n v="4.4000000000000004"/>
    <x v="20"/>
    <n v="45753"/>
    <n v="7"/>
    <s v="PhD"/>
    <n v="47.4"/>
  </r>
  <r>
    <n v="22"/>
    <x v="4"/>
    <x v="16"/>
    <x v="7"/>
    <x v="2"/>
    <x v="0"/>
    <x v="19"/>
    <s v="Remote"/>
    <n v="0.4"/>
    <s v="Remote"/>
    <n v="3.2"/>
    <x v="21"/>
    <n v="45595"/>
    <n v="60"/>
    <s v="Master's"/>
    <n v="82.9"/>
  </r>
  <r>
    <n v="23"/>
    <x v="3"/>
    <x v="17"/>
    <x v="1"/>
    <x v="2"/>
    <x v="0"/>
    <x v="4"/>
    <s v="Toronto, Canada"/>
    <n v="1.6"/>
    <s v="On-site"/>
    <n v="4.5999999999999996"/>
    <x v="22"/>
    <n v="45669"/>
    <n v="60"/>
    <s v="Bachelor's"/>
    <n v="72.3"/>
  </r>
  <r>
    <n v="24"/>
    <x v="1"/>
    <x v="10"/>
    <x v="6"/>
    <x v="0"/>
    <x v="0"/>
    <x v="20"/>
    <s v="Denver, CO"/>
    <n v="5.9"/>
    <s v="Remote"/>
    <n v="3.8"/>
    <x v="23"/>
    <n v="45653"/>
    <n v="46"/>
    <s v="Self-taught"/>
    <n v="31"/>
  </r>
  <r>
    <n v="25"/>
    <x v="2"/>
    <x v="4"/>
    <x v="5"/>
    <x v="2"/>
    <x v="0"/>
    <x v="21"/>
    <s v="Los Angeles, CA"/>
    <n v="1.2"/>
    <s v="On-site"/>
    <n v="3.1"/>
    <x v="24"/>
    <n v="45784"/>
    <n v="37"/>
    <s v="Bachelor's"/>
    <n v="29.7"/>
  </r>
  <r>
    <n v="26"/>
    <x v="12"/>
    <x v="10"/>
    <x v="2"/>
    <x v="2"/>
    <x v="1"/>
    <x v="22"/>
    <s v="Chicago, IL"/>
    <n v="0.7"/>
    <s v="Remote"/>
    <n v="4.3"/>
    <x v="25"/>
    <n v="45627"/>
    <n v="37"/>
    <s v="PhD"/>
    <n v="55"/>
  </r>
  <r>
    <n v="27"/>
    <x v="13"/>
    <x v="13"/>
    <x v="2"/>
    <x v="3"/>
    <x v="0"/>
    <x v="23"/>
    <s v="London, UK"/>
    <n v="15.4"/>
    <s v="On-site"/>
    <n v="4.2"/>
    <x v="26"/>
    <n v="45620"/>
    <n v="18"/>
    <s v="Bootcamp"/>
    <n v="65.7"/>
  </r>
  <r>
    <n v="28"/>
    <x v="12"/>
    <x v="18"/>
    <x v="5"/>
    <x v="4"/>
    <x v="0"/>
    <x v="24"/>
    <s v="Chicago, IL"/>
    <n v="9.6"/>
    <s v="Hybrid"/>
    <n v="4.9000000000000004"/>
    <x v="27"/>
    <n v="45813"/>
    <n v="45"/>
    <s v="Self-taught"/>
    <n v="25.2"/>
  </r>
  <r>
    <n v="29"/>
    <x v="2"/>
    <x v="19"/>
    <x v="4"/>
    <x v="0"/>
    <x v="0"/>
    <x v="25"/>
    <s v="Boston, MA"/>
    <n v="5.0999999999999996"/>
    <s v="Remote"/>
    <n v="4"/>
    <x v="28"/>
    <n v="45768"/>
    <n v="17"/>
    <s v="Bootcamp"/>
    <n v="39.5"/>
  </r>
  <r>
    <n v="30"/>
    <x v="1"/>
    <x v="20"/>
    <x v="0"/>
    <x v="2"/>
    <x v="1"/>
    <x v="26"/>
    <s v="Los Angeles, CA"/>
    <n v="1.6"/>
    <s v="On-site"/>
    <n v="3.9"/>
    <x v="29"/>
    <n v="45711"/>
    <n v="47"/>
    <s v="Self-taught"/>
    <n v="83.9"/>
  </r>
  <r>
    <n v="31"/>
    <x v="12"/>
    <x v="21"/>
    <x v="6"/>
    <x v="3"/>
    <x v="1"/>
    <x v="27"/>
    <s v="Toronto, Canada"/>
    <n v="16.600000000000001"/>
    <s v="Hybrid"/>
    <n v="4.8"/>
    <x v="30"/>
    <n v="45800"/>
    <n v="22"/>
    <s v="Self-taught"/>
    <n v="38.6"/>
  </r>
  <r>
    <n v="32"/>
    <x v="1"/>
    <x v="15"/>
    <x v="6"/>
    <x v="2"/>
    <x v="1"/>
    <x v="26"/>
    <s v="Atlanta, GA"/>
    <n v="0.7"/>
    <s v="On-site"/>
    <n v="3.2"/>
    <x v="31"/>
    <n v="45552"/>
    <n v="50"/>
    <s v="Master's"/>
    <n v="0.8"/>
  </r>
  <r>
    <n v="33"/>
    <x v="11"/>
    <x v="21"/>
    <x v="6"/>
    <x v="4"/>
    <x v="0"/>
    <x v="28"/>
    <s v="London, UK"/>
    <n v="11.5"/>
    <s v="Hybrid"/>
    <n v="4.4000000000000004"/>
    <x v="32"/>
    <n v="45673"/>
    <n v="59"/>
    <s v="Bootcamp"/>
    <n v="43.4"/>
  </r>
  <r>
    <n v="34"/>
    <x v="8"/>
    <x v="4"/>
    <x v="4"/>
    <x v="4"/>
    <x v="0"/>
    <x v="29"/>
    <s v="Singapore"/>
    <n v="7.1"/>
    <s v="Remote"/>
    <n v="4.4000000000000004"/>
    <x v="33"/>
    <n v="45792"/>
    <n v="39"/>
    <s v="Bachelor's"/>
    <n v="76.599999999999994"/>
  </r>
  <r>
    <n v="35"/>
    <x v="12"/>
    <x v="5"/>
    <x v="0"/>
    <x v="2"/>
    <x v="0"/>
    <x v="30"/>
    <s v="Berlin, Germany"/>
    <n v="0.4"/>
    <s v="Remote"/>
    <n v="3.7"/>
    <x v="34"/>
    <n v="45616"/>
    <n v="53"/>
    <s v="Bootcamp"/>
    <n v="17.7"/>
  </r>
  <r>
    <n v="36"/>
    <x v="7"/>
    <x v="12"/>
    <x v="0"/>
    <x v="3"/>
    <x v="0"/>
    <x v="31"/>
    <s v="Denver, CO"/>
    <n v="15.2"/>
    <s v="Hybrid"/>
    <n v="4.3"/>
    <x v="35"/>
    <n v="45792"/>
    <n v="14"/>
    <s v="Master's"/>
    <n v="6.4"/>
  </r>
  <r>
    <n v="37"/>
    <x v="0"/>
    <x v="0"/>
    <x v="4"/>
    <x v="4"/>
    <x v="1"/>
    <x v="32"/>
    <s v="Los Angeles, CA"/>
    <n v="10"/>
    <s v="On-site"/>
    <n v="4.4000000000000004"/>
    <x v="36"/>
    <n v="45487"/>
    <n v="64"/>
    <s v="PhD"/>
    <n v="46.8"/>
  </r>
  <r>
    <n v="38"/>
    <x v="5"/>
    <x v="13"/>
    <x v="1"/>
    <x v="1"/>
    <x v="0"/>
    <x v="33"/>
    <s v="Denver, CO"/>
    <n v="2.2999999999999998"/>
    <s v="Hybrid"/>
    <n v="4.7"/>
    <x v="37"/>
    <n v="45651"/>
    <n v="39"/>
    <s v="Bootcamp"/>
    <n v="54.5"/>
  </r>
  <r>
    <n v="39"/>
    <x v="7"/>
    <x v="6"/>
    <x v="5"/>
    <x v="2"/>
    <x v="1"/>
    <x v="34"/>
    <s v="Austin, TX"/>
    <n v="0.9"/>
    <s v="Remote"/>
    <n v="4.8"/>
    <x v="38"/>
    <n v="45741"/>
    <n v="46"/>
    <s v="PhD"/>
    <n v="50.4"/>
  </r>
  <r>
    <n v="40"/>
    <x v="5"/>
    <x v="4"/>
    <x v="6"/>
    <x v="4"/>
    <x v="0"/>
    <x v="35"/>
    <s v="Atlanta, GA"/>
    <n v="8.6"/>
    <s v="Remote"/>
    <n v="4.9000000000000004"/>
    <x v="39"/>
    <n v="45765"/>
    <n v="44"/>
    <s v="Bootcamp"/>
    <n v="25.3"/>
  </r>
  <r>
    <n v="41"/>
    <x v="10"/>
    <x v="22"/>
    <x v="5"/>
    <x v="1"/>
    <x v="0"/>
    <x v="36"/>
    <s v="Atlanta, GA"/>
    <n v="3"/>
    <s v="Hybrid"/>
    <n v="4.4000000000000004"/>
    <x v="40"/>
    <n v="45517"/>
    <n v="20"/>
    <s v="Bootcamp"/>
    <n v="39"/>
  </r>
  <r>
    <n v="42"/>
    <x v="3"/>
    <x v="14"/>
    <x v="6"/>
    <x v="4"/>
    <x v="0"/>
    <x v="37"/>
    <s v="Seattle, WA"/>
    <n v="8.5"/>
    <s v="Remote"/>
    <n v="3.5"/>
    <x v="41"/>
    <n v="45650"/>
    <n v="32"/>
    <s v="Self-taught"/>
    <n v="24.8"/>
  </r>
  <r>
    <n v="43"/>
    <x v="8"/>
    <x v="23"/>
    <x v="2"/>
    <x v="0"/>
    <x v="0"/>
    <x v="13"/>
    <s v="Chicago, IL"/>
    <n v="6.3"/>
    <s v="Hybrid"/>
    <n v="4.9000000000000004"/>
    <x v="42"/>
    <n v="45615"/>
    <n v="51"/>
    <s v="Self-taught"/>
    <n v="82.9"/>
  </r>
  <r>
    <n v="44"/>
    <x v="14"/>
    <x v="24"/>
    <x v="2"/>
    <x v="2"/>
    <x v="1"/>
    <x v="38"/>
    <s v="Denver, CO"/>
    <n v="0.7"/>
    <s v="Remote"/>
    <n v="4.4000000000000004"/>
    <x v="43"/>
    <n v="45757"/>
    <n v="23"/>
    <s v="Master's"/>
    <n v="52.4"/>
  </r>
  <r>
    <n v="45"/>
    <x v="3"/>
    <x v="12"/>
    <x v="3"/>
    <x v="2"/>
    <x v="0"/>
    <x v="34"/>
    <s v="Singapore"/>
    <n v="0.9"/>
    <s v="Remote"/>
    <n v="3.1"/>
    <x v="44"/>
    <n v="45725"/>
    <n v="9"/>
    <s v="Self-taught"/>
    <n v="51.7"/>
  </r>
  <r>
    <n v="46"/>
    <x v="9"/>
    <x v="20"/>
    <x v="7"/>
    <x v="3"/>
    <x v="3"/>
    <x v="39"/>
    <s v="Denver, CO"/>
    <n v="10.9"/>
    <s v="Hybrid"/>
    <n v="4.2"/>
    <x v="45"/>
    <n v="45700"/>
    <n v="24"/>
    <s v="Self-taught"/>
    <n v="84.1"/>
  </r>
  <r>
    <n v="47"/>
    <x v="6"/>
    <x v="5"/>
    <x v="0"/>
    <x v="3"/>
    <x v="3"/>
    <x v="40"/>
    <s v="Chicago, IL"/>
    <n v="15"/>
    <s v="Remote"/>
    <n v="3.2"/>
    <x v="46"/>
    <n v="45554"/>
    <n v="5"/>
    <s v="Bootcamp"/>
    <n v="35.5"/>
  </r>
  <r>
    <n v="48"/>
    <x v="12"/>
    <x v="12"/>
    <x v="2"/>
    <x v="2"/>
    <x v="0"/>
    <x v="41"/>
    <s v="Berlin, Germany"/>
    <n v="0.1"/>
    <s v="Remote"/>
    <n v="3.5"/>
    <x v="47"/>
    <n v="45532"/>
    <n v="39"/>
    <s v="Master's"/>
    <n v="53.3"/>
  </r>
  <r>
    <n v="49"/>
    <x v="5"/>
    <x v="15"/>
    <x v="7"/>
    <x v="2"/>
    <x v="0"/>
    <x v="42"/>
    <s v="Remote"/>
    <n v="0.9"/>
    <s v="Hybrid"/>
    <n v="3.6"/>
    <x v="48"/>
    <n v="45698"/>
    <n v="10"/>
    <s v="Self-taught"/>
    <n v="-1.4"/>
  </r>
  <r>
    <n v="50"/>
    <x v="11"/>
    <x v="25"/>
    <x v="5"/>
    <x v="3"/>
    <x v="0"/>
    <x v="43"/>
    <s v="Denver, CO"/>
    <n v="17.7"/>
    <s v="On-site"/>
    <n v="4.2"/>
    <x v="49"/>
    <n v="45769"/>
    <n v="7"/>
    <s v="Master's"/>
    <n v="37.299999999999997"/>
  </r>
  <r>
    <n v="51"/>
    <x v="0"/>
    <x v="23"/>
    <x v="2"/>
    <x v="1"/>
    <x v="3"/>
    <x v="44"/>
    <s v="Singapore"/>
    <n v="4.9000000000000004"/>
    <s v="Remote"/>
    <n v="3.8"/>
    <x v="50"/>
    <n v="45684"/>
    <n v="49"/>
    <s v="Bootcamp"/>
    <n v="20.9"/>
  </r>
  <r>
    <n v="52"/>
    <x v="11"/>
    <x v="8"/>
    <x v="0"/>
    <x v="4"/>
    <x v="0"/>
    <x v="45"/>
    <s v="Remote"/>
    <n v="7.6"/>
    <s v="Hybrid"/>
    <n v="4.7"/>
    <x v="18"/>
    <n v="45710"/>
    <n v="31"/>
    <s v="Bachelor's"/>
    <n v="11.9"/>
  </r>
  <r>
    <n v="53"/>
    <x v="13"/>
    <x v="24"/>
    <x v="6"/>
    <x v="4"/>
    <x v="1"/>
    <x v="46"/>
    <s v="Atlanta, GA"/>
    <n v="9.6999999999999993"/>
    <s v="On-site"/>
    <n v="3.9"/>
    <x v="51"/>
    <n v="45596"/>
    <n v="50"/>
    <s v="Master's"/>
    <n v="23"/>
  </r>
  <r>
    <n v="54"/>
    <x v="9"/>
    <x v="4"/>
    <x v="1"/>
    <x v="2"/>
    <x v="0"/>
    <x v="41"/>
    <s v="Berlin, Germany"/>
    <n v="1.9"/>
    <s v="Hybrid"/>
    <n v="3.3"/>
    <x v="52"/>
    <n v="45721"/>
    <n v="35"/>
    <s v="Master's"/>
    <n v="36.1"/>
  </r>
  <r>
    <n v="55"/>
    <x v="4"/>
    <x v="13"/>
    <x v="4"/>
    <x v="3"/>
    <x v="0"/>
    <x v="47"/>
    <s v="Seattle, WA"/>
    <n v="12.2"/>
    <s v="Hybrid"/>
    <n v="3.8"/>
    <x v="53"/>
    <n v="45774"/>
    <n v="42"/>
    <s v="Bootcamp"/>
    <n v="72.900000000000006"/>
  </r>
  <r>
    <n v="56"/>
    <x v="10"/>
    <x v="4"/>
    <x v="6"/>
    <x v="0"/>
    <x v="0"/>
    <x v="12"/>
    <s v="London, UK"/>
    <n v="6.8"/>
    <s v="Remote"/>
    <n v="3.4"/>
    <x v="54"/>
    <n v="45496"/>
    <n v="25"/>
    <s v="Bootcamp"/>
    <n v="58.5"/>
  </r>
  <r>
    <n v="57"/>
    <x v="3"/>
    <x v="13"/>
    <x v="1"/>
    <x v="1"/>
    <x v="0"/>
    <x v="48"/>
    <s v="Boston, MA"/>
    <n v="3.5"/>
    <s v="Remote"/>
    <n v="4.7"/>
    <x v="55"/>
    <n v="45547"/>
    <n v="31"/>
    <s v="Master's"/>
    <n v="1.7"/>
  </r>
  <r>
    <n v="58"/>
    <x v="3"/>
    <x v="15"/>
    <x v="5"/>
    <x v="3"/>
    <x v="1"/>
    <x v="49"/>
    <s v="Seattle, WA"/>
    <n v="16.8"/>
    <s v="On-site"/>
    <n v="4.7"/>
    <x v="56"/>
    <n v="45751"/>
    <n v="7"/>
    <s v="Self-taught"/>
    <n v="1.2"/>
  </r>
  <r>
    <n v="59"/>
    <x v="0"/>
    <x v="26"/>
    <x v="2"/>
    <x v="1"/>
    <x v="1"/>
    <x v="44"/>
    <s v="Austin, TX"/>
    <n v="4.3"/>
    <s v="Hybrid"/>
    <n v="3.2"/>
    <x v="57"/>
    <n v="45497"/>
    <n v="25"/>
    <s v="Bachelor's"/>
    <n v="21.4"/>
  </r>
  <r>
    <n v="60"/>
    <x v="13"/>
    <x v="16"/>
    <x v="7"/>
    <x v="1"/>
    <x v="0"/>
    <x v="50"/>
    <s v="Los Angeles, CA"/>
    <n v="2.5"/>
    <s v="Remote"/>
    <n v="4.7"/>
    <x v="58"/>
    <n v="45592"/>
    <n v="34"/>
    <s v="PhD"/>
    <n v="36.4"/>
  </r>
  <r>
    <n v="61"/>
    <x v="0"/>
    <x v="7"/>
    <x v="6"/>
    <x v="0"/>
    <x v="0"/>
    <x v="16"/>
    <s v="Seattle, WA"/>
    <n v="6.8"/>
    <s v="Remote"/>
    <n v="4.2"/>
    <x v="59"/>
    <n v="45575"/>
    <n v="29"/>
    <s v="Bootcamp"/>
    <n v="4.5999999999999996"/>
  </r>
  <r>
    <n v="62"/>
    <x v="11"/>
    <x v="5"/>
    <x v="5"/>
    <x v="3"/>
    <x v="0"/>
    <x v="51"/>
    <s v="San Francisco, CA"/>
    <n v="17.8"/>
    <s v="Hybrid"/>
    <n v="3.5"/>
    <x v="60"/>
    <n v="45784"/>
    <n v="52"/>
    <s v="Bootcamp"/>
    <n v="70"/>
  </r>
  <r>
    <n v="63"/>
    <x v="5"/>
    <x v="3"/>
    <x v="4"/>
    <x v="3"/>
    <x v="1"/>
    <x v="52"/>
    <s v="Chicago, IL"/>
    <n v="15"/>
    <s v="Hybrid"/>
    <n v="4.4000000000000004"/>
    <x v="61"/>
    <n v="45795"/>
    <n v="46"/>
    <s v="Bachelor's"/>
    <n v="22.8"/>
  </r>
  <r>
    <n v="64"/>
    <x v="10"/>
    <x v="27"/>
    <x v="5"/>
    <x v="1"/>
    <x v="0"/>
    <x v="53"/>
    <s v="Remote"/>
    <n v="4.2"/>
    <s v="Remote"/>
    <n v="3.3"/>
    <x v="62"/>
    <n v="45558"/>
    <n v="21"/>
    <s v="Bootcamp"/>
    <n v="82.1"/>
  </r>
  <r>
    <n v="65"/>
    <x v="6"/>
    <x v="25"/>
    <x v="5"/>
    <x v="2"/>
    <x v="0"/>
    <x v="54"/>
    <s v="Boston, MA"/>
    <n v="1.5"/>
    <s v="Remote"/>
    <n v="4.4000000000000004"/>
    <x v="63"/>
    <n v="45520"/>
    <n v="55"/>
    <s v="Bootcamp"/>
    <n v="-3.7"/>
  </r>
  <r>
    <n v="66"/>
    <x v="14"/>
    <x v="0"/>
    <x v="6"/>
    <x v="0"/>
    <x v="0"/>
    <x v="55"/>
    <s v="London, UK"/>
    <n v="8.3000000000000007"/>
    <s v="Hybrid"/>
    <n v="3.2"/>
    <x v="64"/>
    <n v="45761"/>
    <n v="25"/>
    <s v="Self-taught"/>
    <n v="14.9"/>
  </r>
  <r>
    <n v="67"/>
    <x v="7"/>
    <x v="18"/>
    <x v="6"/>
    <x v="0"/>
    <x v="0"/>
    <x v="56"/>
    <s v="Boston, MA"/>
    <n v="5.2"/>
    <s v="Remote"/>
    <n v="5"/>
    <x v="65"/>
    <n v="45543"/>
    <n v="29"/>
    <s v="Bootcamp"/>
    <n v="28.4"/>
  </r>
  <r>
    <n v="68"/>
    <x v="8"/>
    <x v="1"/>
    <x v="1"/>
    <x v="3"/>
    <x v="1"/>
    <x v="57"/>
    <s v="Toronto, Canada"/>
    <n v="15.2"/>
    <s v="On-site"/>
    <n v="4.2"/>
    <x v="66"/>
    <n v="45701"/>
    <n v="33"/>
    <s v="Master's"/>
    <n v="72"/>
  </r>
  <r>
    <n v="69"/>
    <x v="7"/>
    <x v="26"/>
    <x v="5"/>
    <x v="3"/>
    <x v="2"/>
    <x v="58"/>
    <s v="Remote"/>
    <n v="10.5"/>
    <s v="Remote"/>
    <n v="4.9000000000000004"/>
    <x v="67"/>
    <n v="45801"/>
    <n v="43"/>
    <s v="Bachelor's"/>
    <n v="-0.4"/>
  </r>
  <r>
    <n v="70"/>
    <x v="13"/>
    <x v="14"/>
    <x v="7"/>
    <x v="3"/>
    <x v="0"/>
    <x v="59"/>
    <s v="Chicago, IL"/>
    <n v="14.7"/>
    <s v="On-site"/>
    <n v="3.5"/>
    <x v="68"/>
    <n v="45615"/>
    <n v="59"/>
    <s v="Master's"/>
    <n v="83.9"/>
  </r>
  <r>
    <n v="71"/>
    <x v="14"/>
    <x v="15"/>
    <x v="7"/>
    <x v="2"/>
    <x v="0"/>
    <x v="60"/>
    <s v="Boston, MA"/>
    <n v="0"/>
    <s v="On-site"/>
    <n v="3.5"/>
    <x v="69"/>
    <n v="45538"/>
    <n v="52"/>
    <s v="Bootcamp"/>
    <n v="42.3"/>
  </r>
  <r>
    <n v="72"/>
    <x v="8"/>
    <x v="9"/>
    <x v="6"/>
    <x v="4"/>
    <x v="1"/>
    <x v="61"/>
    <s v="Austin, TX"/>
    <n v="9.3000000000000007"/>
    <s v="Remote"/>
    <n v="4.2"/>
    <x v="70"/>
    <n v="45708"/>
    <n v="46"/>
    <s v="Bachelor's"/>
    <n v="0.5"/>
  </r>
  <r>
    <n v="73"/>
    <x v="10"/>
    <x v="22"/>
    <x v="1"/>
    <x v="4"/>
    <x v="1"/>
    <x v="62"/>
    <s v="Berlin, Germany"/>
    <n v="7.4"/>
    <s v="Remote"/>
    <n v="4.2"/>
    <x v="71"/>
    <n v="45798"/>
    <n v="42"/>
    <s v="Self-taught"/>
    <n v="59.1"/>
  </r>
  <r>
    <n v="74"/>
    <x v="11"/>
    <x v="24"/>
    <x v="2"/>
    <x v="4"/>
    <x v="0"/>
    <x v="63"/>
    <s v="Austin, TX"/>
    <n v="11"/>
    <s v="Remote"/>
    <n v="4.3"/>
    <x v="72"/>
    <n v="45590"/>
    <n v="31"/>
    <s v="PhD"/>
    <n v="69.5"/>
  </r>
  <r>
    <n v="75"/>
    <x v="11"/>
    <x v="16"/>
    <x v="3"/>
    <x v="0"/>
    <x v="0"/>
    <x v="37"/>
    <s v="Atlanta, GA"/>
    <n v="6.5"/>
    <s v="Remote"/>
    <n v="4.8"/>
    <x v="73"/>
    <n v="45521"/>
    <n v="32"/>
    <s v="Bachelor's"/>
    <n v="62"/>
  </r>
  <r>
    <n v="76"/>
    <x v="13"/>
    <x v="11"/>
    <x v="7"/>
    <x v="3"/>
    <x v="0"/>
    <x v="64"/>
    <s v="Remote"/>
    <n v="15.4"/>
    <s v="Remote"/>
    <n v="4.7"/>
    <x v="74"/>
    <n v="45781"/>
    <n v="24"/>
    <s v="PhD"/>
    <n v="4.3"/>
  </r>
  <r>
    <n v="77"/>
    <x v="14"/>
    <x v="10"/>
    <x v="7"/>
    <x v="4"/>
    <x v="0"/>
    <x v="34"/>
    <s v="Remote"/>
    <n v="11.2"/>
    <s v="Remote"/>
    <n v="4.5"/>
    <x v="75"/>
    <n v="45788"/>
    <n v="48"/>
    <s v="Self-taught"/>
    <n v="-2.6"/>
  </r>
  <r>
    <n v="78"/>
    <x v="5"/>
    <x v="26"/>
    <x v="2"/>
    <x v="2"/>
    <x v="0"/>
    <x v="42"/>
    <s v="Remote"/>
    <n v="0.7"/>
    <s v="Remote"/>
    <n v="3.3"/>
    <x v="76"/>
    <n v="45489"/>
    <n v="10"/>
    <s v="Self-taught"/>
    <n v="14.4"/>
  </r>
  <r>
    <n v="79"/>
    <x v="11"/>
    <x v="23"/>
    <x v="5"/>
    <x v="1"/>
    <x v="0"/>
    <x v="8"/>
    <s v="Seattle, WA"/>
    <n v="4.7"/>
    <s v="Remote"/>
    <n v="4.5"/>
    <x v="77"/>
    <n v="45700"/>
    <n v="47"/>
    <s v="Bootcamp"/>
    <n v="38.700000000000003"/>
  </r>
  <r>
    <n v="80"/>
    <x v="10"/>
    <x v="16"/>
    <x v="2"/>
    <x v="1"/>
    <x v="1"/>
    <x v="65"/>
    <s v="Remote"/>
    <n v="3.3"/>
    <s v="Remote"/>
    <n v="4.4000000000000004"/>
    <x v="78"/>
    <n v="45586"/>
    <n v="30"/>
    <s v="Self-taught"/>
    <n v="-0.1"/>
  </r>
  <r>
    <n v="81"/>
    <x v="1"/>
    <x v="3"/>
    <x v="4"/>
    <x v="1"/>
    <x v="1"/>
    <x v="28"/>
    <s v="Remote"/>
    <n v="2.4"/>
    <s v="Remote"/>
    <n v="3.9"/>
    <x v="79"/>
    <n v="45591"/>
    <n v="37"/>
    <s v="Self-taught"/>
    <n v="70"/>
  </r>
  <r>
    <n v="82"/>
    <x v="3"/>
    <x v="2"/>
    <x v="3"/>
    <x v="4"/>
    <x v="2"/>
    <x v="66"/>
    <s v="Toronto, Canada"/>
    <n v="7.1"/>
    <s v="On-site"/>
    <n v="4.7"/>
    <x v="80"/>
    <n v="45687"/>
    <n v="23"/>
    <s v="Bachelor's"/>
    <n v="31.5"/>
  </r>
  <r>
    <n v="83"/>
    <x v="13"/>
    <x v="17"/>
    <x v="6"/>
    <x v="0"/>
    <x v="0"/>
    <x v="26"/>
    <s v="Denver, CO"/>
    <n v="6.7"/>
    <s v="Remote"/>
    <n v="3.2"/>
    <x v="81"/>
    <n v="45560"/>
    <n v="9"/>
    <s v="Self-taught"/>
    <n v="52"/>
  </r>
  <r>
    <n v="84"/>
    <x v="14"/>
    <x v="6"/>
    <x v="4"/>
    <x v="0"/>
    <x v="0"/>
    <x v="67"/>
    <s v="Denver, CO"/>
    <n v="5.4"/>
    <s v="Remote"/>
    <n v="3.3"/>
    <x v="82"/>
    <n v="45512"/>
    <n v="16"/>
    <s v="Bootcamp"/>
    <n v="36.799999999999997"/>
  </r>
  <r>
    <n v="85"/>
    <x v="12"/>
    <x v="19"/>
    <x v="6"/>
    <x v="3"/>
    <x v="0"/>
    <x v="68"/>
    <s v="Remote"/>
    <n v="16.899999999999999"/>
    <s v="Hybrid"/>
    <n v="3.3"/>
    <x v="83"/>
    <n v="45629"/>
    <n v="55"/>
    <s v="PhD"/>
    <n v="48.2"/>
  </r>
  <r>
    <n v="86"/>
    <x v="13"/>
    <x v="6"/>
    <x v="3"/>
    <x v="0"/>
    <x v="0"/>
    <x v="33"/>
    <s v="New York, NY"/>
    <n v="6.5"/>
    <s v="Remote"/>
    <n v="4.3"/>
    <x v="84"/>
    <n v="45670"/>
    <n v="34"/>
    <s v="Self-taught"/>
    <n v="44.9"/>
  </r>
  <r>
    <n v="87"/>
    <x v="3"/>
    <x v="25"/>
    <x v="0"/>
    <x v="4"/>
    <x v="2"/>
    <x v="69"/>
    <s v="Chicago, IL"/>
    <n v="8.6"/>
    <s v="Remote"/>
    <n v="3.3"/>
    <x v="85"/>
    <n v="45649"/>
    <n v="50"/>
    <s v="Bachelor's"/>
    <n v="40.4"/>
  </r>
  <r>
    <n v="88"/>
    <x v="4"/>
    <x v="27"/>
    <x v="4"/>
    <x v="4"/>
    <x v="3"/>
    <x v="35"/>
    <s v="Los Angeles, CA"/>
    <n v="8.8000000000000007"/>
    <s v="On-site"/>
    <n v="3.8"/>
    <x v="86"/>
    <n v="45805"/>
    <n v="26"/>
    <s v="Bachelor's"/>
    <n v="24.7"/>
  </r>
  <r>
    <n v="89"/>
    <x v="14"/>
    <x v="26"/>
    <x v="1"/>
    <x v="0"/>
    <x v="0"/>
    <x v="15"/>
    <s v="Boston, MA"/>
    <n v="6.3"/>
    <s v="Remote"/>
    <n v="3.3"/>
    <x v="87"/>
    <n v="45674"/>
    <n v="13"/>
    <s v="Self-taught"/>
    <n v="58.8"/>
  </r>
  <r>
    <n v="90"/>
    <x v="7"/>
    <x v="3"/>
    <x v="1"/>
    <x v="0"/>
    <x v="1"/>
    <x v="24"/>
    <s v="Seattle, WA"/>
    <n v="7.6"/>
    <s v="Remote"/>
    <n v="3.7"/>
    <x v="88"/>
    <n v="45722"/>
    <n v="17"/>
    <s v="Master's"/>
    <n v="85"/>
  </r>
  <r>
    <n v="91"/>
    <x v="4"/>
    <x v="9"/>
    <x v="2"/>
    <x v="2"/>
    <x v="0"/>
    <x v="70"/>
    <s v="New York, NY"/>
    <n v="1.3"/>
    <s v="On-site"/>
    <n v="4.2"/>
    <x v="89"/>
    <n v="45558"/>
    <n v="51"/>
    <s v="Bootcamp"/>
    <n v="-1.1000000000000001"/>
  </r>
  <r>
    <n v="92"/>
    <x v="13"/>
    <x v="26"/>
    <x v="4"/>
    <x v="4"/>
    <x v="0"/>
    <x v="32"/>
    <s v="Denver, CO"/>
    <n v="9.6999999999999993"/>
    <s v="Remote"/>
    <n v="4.5999999999999996"/>
    <x v="90"/>
    <n v="45821"/>
    <n v="65"/>
    <s v="Self-taught"/>
    <n v="83.6"/>
  </r>
  <r>
    <n v="93"/>
    <x v="10"/>
    <x v="19"/>
    <x v="2"/>
    <x v="4"/>
    <x v="0"/>
    <x v="69"/>
    <s v="Los Angeles, CA"/>
    <n v="11.1"/>
    <s v="Hybrid"/>
    <n v="3.3"/>
    <x v="91"/>
    <n v="45757"/>
    <n v="64"/>
    <s v="Bachelor's"/>
    <n v="59"/>
  </r>
  <r>
    <n v="94"/>
    <x v="14"/>
    <x v="22"/>
    <x v="3"/>
    <x v="0"/>
    <x v="0"/>
    <x v="71"/>
    <s v="Atlanta, GA"/>
    <n v="6.8"/>
    <s v="Remote"/>
    <n v="4.7"/>
    <x v="92"/>
    <n v="45652"/>
    <n v="64"/>
    <s v="Bachelor's"/>
    <n v="32.299999999999997"/>
  </r>
  <r>
    <n v="95"/>
    <x v="11"/>
    <x v="6"/>
    <x v="5"/>
    <x v="1"/>
    <x v="0"/>
    <x v="2"/>
    <s v="Remote"/>
    <n v="2.7"/>
    <s v="Remote"/>
    <n v="3.2"/>
    <x v="93"/>
    <n v="45493"/>
    <n v="23"/>
    <s v="Bootcamp"/>
    <n v="57.6"/>
  </r>
  <r>
    <n v="96"/>
    <x v="4"/>
    <x v="19"/>
    <x v="6"/>
    <x v="4"/>
    <x v="0"/>
    <x v="72"/>
    <s v="San Francisco, CA"/>
    <n v="8.3000000000000007"/>
    <s v="Hybrid"/>
    <n v="4.0999999999999996"/>
    <x v="94"/>
    <n v="45595"/>
    <n v="24"/>
    <s v="Bachelor's"/>
    <n v="-0.7"/>
  </r>
  <r>
    <n v="97"/>
    <x v="11"/>
    <x v="18"/>
    <x v="6"/>
    <x v="2"/>
    <x v="0"/>
    <x v="71"/>
    <s v="San Francisco, CA"/>
    <n v="1.3"/>
    <s v="Hybrid"/>
    <n v="4.4000000000000004"/>
    <x v="95"/>
    <n v="45597"/>
    <n v="41"/>
    <s v="Bootcamp"/>
    <n v="11.9"/>
  </r>
  <r>
    <n v="98"/>
    <x v="0"/>
    <x v="9"/>
    <x v="5"/>
    <x v="2"/>
    <x v="3"/>
    <x v="5"/>
    <s v="San Francisco, CA"/>
    <n v="0.8"/>
    <s v="Hybrid"/>
    <n v="4.3"/>
    <x v="96"/>
    <n v="45508"/>
    <n v="27"/>
    <s v="Master's"/>
    <n v="61"/>
  </r>
  <r>
    <n v="99"/>
    <x v="0"/>
    <x v="0"/>
    <x v="5"/>
    <x v="1"/>
    <x v="0"/>
    <x v="73"/>
    <s v="Remote"/>
    <n v="4.4000000000000004"/>
    <s v="Remote"/>
    <n v="4.5999999999999996"/>
    <x v="97"/>
    <n v="45543"/>
    <n v="9"/>
    <s v="Bootcamp"/>
    <n v="-1.7"/>
  </r>
  <r>
    <n v="100"/>
    <x v="1"/>
    <x v="27"/>
    <x v="4"/>
    <x v="2"/>
    <x v="0"/>
    <x v="74"/>
    <s v="London, UK"/>
    <n v="2"/>
    <s v="Hybrid"/>
    <n v="3.5"/>
    <x v="98"/>
    <n v="45643"/>
    <n v="22"/>
    <s v="Bachelor's"/>
    <n v="66.900000000000006"/>
  </r>
  <r>
    <n v="101"/>
    <x v="11"/>
    <x v="28"/>
    <x v="1"/>
    <x v="4"/>
    <x v="2"/>
    <x v="75"/>
    <s v="Remote"/>
    <n v="11.9"/>
    <s v="Remote"/>
    <n v="4"/>
    <x v="99"/>
    <n v="45514"/>
    <n v="32"/>
    <s v="Self-taught"/>
    <n v="84.6"/>
  </r>
  <r>
    <n v="102"/>
    <x v="4"/>
    <x v="4"/>
    <x v="2"/>
    <x v="0"/>
    <x v="0"/>
    <x v="26"/>
    <s v="Remote"/>
    <n v="6.2"/>
    <s v="Remote"/>
    <n v="3.9"/>
    <x v="100"/>
    <n v="45788"/>
    <n v="32"/>
    <s v="PhD"/>
    <n v="52.6"/>
  </r>
  <r>
    <n v="103"/>
    <x v="3"/>
    <x v="27"/>
    <x v="3"/>
    <x v="4"/>
    <x v="0"/>
    <x v="7"/>
    <s v="Los Angeles, CA"/>
    <n v="11.8"/>
    <s v="Remote"/>
    <n v="4.2"/>
    <x v="101"/>
    <n v="45804"/>
    <n v="28"/>
    <s v="PhD"/>
    <n v="29.5"/>
  </r>
  <r>
    <n v="104"/>
    <x v="12"/>
    <x v="27"/>
    <x v="7"/>
    <x v="4"/>
    <x v="3"/>
    <x v="76"/>
    <s v="Berlin, Germany"/>
    <n v="10.8"/>
    <s v="Hybrid"/>
    <n v="4.0999999999999996"/>
    <x v="102"/>
    <n v="45532"/>
    <n v="6"/>
    <s v="Master's"/>
    <n v="39.9"/>
  </r>
  <r>
    <n v="105"/>
    <x v="11"/>
    <x v="29"/>
    <x v="3"/>
    <x v="0"/>
    <x v="1"/>
    <x v="77"/>
    <s v="Chicago, IL"/>
    <n v="9"/>
    <s v="Remote"/>
    <n v="4.8"/>
    <x v="103"/>
    <n v="45705"/>
    <n v="16"/>
    <s v="Bootcamp"/>
    <n v="84.8"/>
  </r>
  <r>
    <n v="106"/>
    <x v="3"/>
    <x v="26"/>
    <x v="5"/>
    <x v="0"/>
    <x v="1"/>
    <x v="40"/>
    <s v="Remote"/>
    <n v="8.6"/>
    <s v="Hybrid"/>
    <n v="4.4000000000000004"/>
    <x v="104"/>
    <n v="45588"/>
    <n v="12"/>
    <s v="Master's"/>
    <n v="66.3"/>
  </r>
  <r>
    <n v="107"/>
    <x v="1"/>
    <x v="11"/>
    <x v="6"/>
    <x v="2"/>
    <x v="0"/>
    <x v="56"/>
    <s v="Remote"/>
    <n v="0.9"/>
    <s v="On-site"/>
    <n v="3.3"/>
    <x v="105"/>
    <n v="45719"/>
    <n v="38"/>
    <s v="Bootcamp"/>
    <n v="64.2"/>
  </r>
  <r>
    <n v="108"/>
    <x v="2"/>
    <x v="5"/>
    <x v="3"/>
    <x v="1"/>
    <x v="3"/>
    <x v="3"/>
    <s v="Seattle, WA"/>
    <n v="3.3"/>
    <s v="Hybrid"/>
    <n v="3.7"/>
    <x v="106"/>
    <n v="45731"/>
    <n v="63"/>
    <s v="Bachelor's"/>
    <n v="69.8"/>
  </r>
  <r>
    <n v="109"/>
    <x v="14"/>
    <x v="20"/>
    <x v="2"/>
    <x v="1"/>
    <x v="0"/>
    <x v="21"/>
    <s v="Remote"/>
    <n v="4.8"/>
    <s v="Remote"/>
    <n v="3.6"/>
    <x v="107"/>
    <n v="45756"/>
    <n v="22"/>
    <s v="Master's"/>
    <n v="51.3"/>
  </r>
  <r>
    <n v="110"/>
    <x v="12"/>
    <x v="4"/>
    <x v="3"/>
    <x v="3"/>
    <x v="0"/>
    <x v="78"/>
    <s v="Boston, MA"/>
    <n v="11.4"/>
    <s v="Hybrid"/>
    <n v="4.8"/>
    <x v="108"/>
    <n v="45515"/>
    <n v="7"/>
    <s v="Self-taught"/>
    <n v="18.8"/>
  </r>
  <r>
    <n v="111"/>
    <x v="1"/>
    <x v="19"/>
    <x v="1"/>
    <x v="3"/>
    <x v="0"/>
    <x v="79"/>
    <s v="Remote"/>
    <n v="15.1"/>
    <s v="Remote"/>
    <n v="3.5"/>
    <x v="109"/>
    <n v="45554"/>
    <n v="33"/>
    <s v="Bootcamp"/>
    <n v="38.6"/>
  </r>
  <r>
    <n v="112"/>
    <x v="1"/>
    <x v="21"/>
    <x v="7"/>
    <x v="0"/>
    <x v="2"/>
    <x v="80"/>
    <s v="Remote"/>
    <n v="8.9"/>
    <s v="Remote"/>
    <n v="3.7"/>
    <x v="110"/>
    <n v="45610"/>
    <n v="33"/>
    <s v="Master's"/>
    <n v="7.7"/>
  </r>
  <r>
    <n v="113"/>
    <x v="9"/>
    <x v="3"/>
    <x v="1"/>
    <x v="3"/>
    <x v="0"/>
    <x v="81"/>
    <s v="Remote"/>
    <n v="17.5"/>
    <s v="Hybrid"/>
    <n v="3.4"/>
    <x v="111"/>
    <n v="45729"/>
    <n v="61"/>
    <s v="PhD"/>
    <n v="39.799999999999997"/>
  </r>
  <r>
    <n v="114"/>
    <x v="7"/>
    <x v="13"/>
    <x v="6"/>
    <x v="1"/>
    <x v="0"/>
    <x v="50"/>
    <s v="New York, NY"/>
    <n v="2.2000000000000002"/>
    <s v="Remote"/>
    <n v="4.8"/>
    <x v="112"/>
    <n v="45529"/>
    <n v="32"/>
    <s v="Master's"/>
    <n v="74.400000000000006"/>
  </r>
  <r>
    <n v="115"/>
    <x v="8"/>
    <x v="2"/>
    <x v="1"/>
    <x v="0"/>
    <x v="0"/>
    <x v="39"/>
    <s v="Chicago, IL"/>
    <n v="6.5"/>
    <s v="Remote"/>
    <n v="3.8"/>
    <x v="113"/>
    <n v="45822"/>
    <n v="44"/>
    <s v="Bachelor's"/>
    <n v="6.6"/>
  </r>
  <r>
    <n v="116"/>
    <x v="7"/>
    <x v="13"/>
    <x v="5"/>
    <x v="0"/>
    <x v="0"/>
    <x v="37"/>
    <s v="Boston, MA"/>
    <n v="5.8"/>
    <s v="Remote"/>
    <n v="4"/>
    <x v="114"/>
    <n v="45644"/>
    <n v="56"/>
    <s v="Bootcamp"/>
    <n v="41.7"/>
  </r>
  <r>
    <n v="117"/>
    <x v="4"/>
    <x v="24"/>
    <x v="7"/>
    <x v="0"/>
    <x v="2"/>
    <x v="82"/>
    <s v="Los Angeles, CA"/>
    <n v="6.6"/>
    <s v="Remote"/>
    <n v="4.7"/>
    <x v="115"/>
    <n v="45836"/>
    <n v="41"/>
    <s v="PhD"/>
    <n v="37.700000000000003"/>
  </r>
  <r>
    <n v="118"/>
    <x v="9"/>
    <x v="2"/>
    <x v="5"/>
    <x v="2"/>
    <x v="3"/>
    <x v="55"/>
    <s v="Remote"/>
    <n v="1.6"/>
    <s v="On-site"/>
    <n v="4.4000000000000004"/>
    <x v="116"/>
    <n v="45809"/>
    <n v="55"/>
    <s v="Self-taught"/>
    <n v="47"/>
  </r>
  <r>
    <n v="119"/>
    <x v="8"/>
    <x v="27"/>
    <x v="6"/>
    <x v="1"/>
    <x v="0"/>
    <x v="83"/>
    <s v="London, UK"/>
    <n v="2.4"/>
    <s v="Hybrid"/>
    <n v="3.1"/>
    <x v="117"/>
    <n v="45688"/>
    <n v="14"/>
    <s v="Bootcamp"/>
    <n v="57.1"/>
  </r>
  <r>
    <n v="120"/>
    <x v="11"/>
    <x v="6"/>
    <x v="6"/>
    <x v="2"/>
    <x v="1"/>
    <x v="84"/>
    <s v="Chicago, IL"/>
    <n v="1.1000000000000001"/>
    <s v="On-site"/>
    <n v="4"/>
    <x v="118"/>
    <n v="45649"/>
    <n v="39"/>
    <s v="PhD"/>
    <n v="55.8"/>
  </r>
  <r>
    <n v="121"/>
    <x v="2"/>
    <x v="25"/>
    <x v="2"/>
    <x v="3"/>
    <x v="0"/>
    <x v="51"/>
    <s v="Atlanta, GA"/>
    <n v="14.5"/>
    <s v="Remote"/>
    <n v="4.9000000000000004"/>
    <x v="119"/>
    <n v="45827"/>
    <n v="50"/>
    <s v="Bootcamp"/>
    <n v="23.5"/>
  </r>
  <r>
    <n v="122"/>
    <x v="13"/>
    <x v="4"/>
    <x v="2"/>
    <x v="0"/>
    <x v="0"/>
    <x v="1"/>
    <s v="London, UK"/>
    <n v="8.6"/>
    <s v="Remote"/>
    <n v="3.7"/>
    <x v="120"/>
    <n v="45514"/>
    <n v="27"/>
    <s v="Bootcamp"/>
    <n v="54"/>
  </r>
  <r>
    <n v="123"/>
    <x v="8"/>
    <x v="12"/>
    <x v="4"/>
    <x v="1"/>
    <x v="1"/>
    <x v="85"/>
    <s v="Atlanta, GA"/>
    <n v="2.4"/>
    <s v="Hybrid"/>
    <n v="4.2"/>
    <x v="121"/>
    <n v="45589"/>
    <n v="45"/>
    <s v="Master's"/>
    <n v="-0.3"/>
  </r>
  <r>
    <n v="124"/>
    <x v="11"/>
    <x v="21"/>
    <x v="6"/>
    <x v="2"/>
    <x v="1"/>
    <x v="18"/>
    <s v="San Francisco, CA"/>
    <n v="1.9"/>
    <s v="On-site"/>
    <n v="3.3"/>
    <x v="122"/>
    <n v="45621"/>
    <n v="25"/>
    <s v="PhD"/>
    <n v="53.1"/>
  </r>
  <r>
    <n v="125"/>
    <x v="5"/>
    <x v="19"/>
    <x v="3"/>
    <x v="3"/>
    <x v="0"/>
    <x v="44"/>
    <s v="Los Angeles, CA"/>
    <n v="13.3"/>
    <s v="On-site"/>
    <n v="4.9000000000000004"/>
    <x v="123"/>
    <n v="45727"/>
    <n v="16"/>
    <s v="PhD"/>
    <n v="73.900000000000006"/>
  </r>
  <r>
    <n v="126"/>
    <x v="9"/>
    <x v="3"/>
    <x v="3"/>
    <x v="0"/>
    <x v="0"/>
    <x v="75"/>
    <s v="Singapore"/>
    <n v="8.6"/>
    <s v="Remote"/>
    <n v="4"/>
    <x v="124"/>
    <n v="45557"/>
    <n v="51"/>
    <s v="Bootcamp"/>
    <n v="53.3"/>
  </r>
  <r>
    <n v="127"/>
    <x v="8"/>
    <x v="17"/>
    <x v="0"/>
    <x v="0"/>
    <x v="1"/>
    <x v="86"/>
    <s v="Chicago, IL"/>
    <n v="5.7"/>
    <s v="Hybrid"/>
    <n v="4.8"/>
    <x v="125"/>
    <n v="45816"/>
    <n v="11"/>
    <s v="Master's"/>
    <n v="83.4"/>
  </r>
  <r>
    <n v="128"/>
    <x v="10"/>
    <x v="21"/>
    <x v="4"/>
    <x v="2"/>
    <x v="0"/>
    <x v="5"/>
    <s v="Berlin, Germany"/>
    <n v="1.5"/>
    <s v="On-site"/>
    <n v="3.6"/>
    <x v="126"/>
    <n v="45828"/>
    <n v="20"/>
    <s v="Bachelor's"/>
    <n v="55.1"/>
  </r>
  <r>
    <n v="129"/>
    <x v="10"/>
    <x v="3"/>
    <x v="7"/>
    <x v="4"/>
    <x v="1"/>
    <x v="23"/>
    <s v="Austin, TX"/>
    <n v="10.199999999999999"/>
    <s v="On-site"/>
    <n v="3.7"/>
    <x v="127"/>
    <n v="45552"/>
    <n v="34"/>
    <s v="Self-taught"/>
    <n v="28.6"/>
  </r>
  <r>
    <n v="130"/>
    <x v="8"/>
    <x v="4"/>
    <x v="6"/>
    <x v="3"/>
    <x v="1"/>
    <x v="87"/>
    <s v="Denver, CO"/>
    <n v="15.4"/>
    <s v="Hybrid"/>
    <n v="4.5999999999999996"/>
    <x v="128"/>
    <n v="45762"/>
    <n v="12"/>
    <s v="Bachelor's"/>
    <n v="69.599999999999994"/>
  </r>
  <r>
    <n v="131"/>
    <x v="5"/>
    <x v="6"/>
    <x v="4"/>
    <x v="3"/>
    <x v="0"/>
    <x v="77"/>
    <s v="Remote"/>
    <n v="16.8"/>
    <s v="Remote"/>
    <n v="4.4000000000000004"/>
    <x v="129"/>
    <n v="45502"/>
    <n v="34"/>
    <s v="Master's"/>
    <n v="41.2"/>
  </r>
  <r>
    <n v="132"/>
    <x v="10"/>
    <x v="5"/>
    <x v="0"/>
    <x v="3"/>
    <x v="0"/>
    <x v="88"/>
    <s v="San Francisco, CA"/>
    <n v="13.2"/>
    <s v="On-site"/>
    <n v="4.5"/>
    <x v="130"/>
    <n v="45751"/>
    <n v="8"/>
    <s v="Bachelor's"/>
    <n v="83.8"/>
  </r>
  <r>
    <n v="133"/>
    <x v="10"/>
    <x v="27"/>
    <x v="2"/>
    <x v="4"/>
    <x v="0"/>
    <x v="24"/>
    <s v="Toronto, Canada"/>
    <n v="8.9"/>
    <s v="On-site"/>
    <n v="3.9"/>
    <x v="131"/>
    <n v="45750"/>
    <n v="13"/>
    <s v="PhD"/>
    <n v="5.7"/>
  </r>
  <r>
    <n v="134"/>
    <x v="14"/>
    <x v="13"/>
    <x v="7"/>
    <x v="1"/>
    <x v="1"/>
    <x v="89"/>
    <s v="Remote"/>
    <n v="3.4"/>
    <s v="Hybrid"/>
    <n v="3.8"/>
    <x v="132"/>
    <n v="45651"/>
    <n v="14"/>
    <s v="PhD"/>
    <n v="12"/>
  </r>
  <r>
    <n v="135"/>
    <x v="5"/>
    <x v="25"/>
    <x v="3"/>
    <x v="2"/>
    <x v="1"/>
    <x v="41"/>
    <s v="San Francisco, CA"/>
    <n v="0.5"/>
    <s v="Remote"/>
    <n v="4.2"/>
    <x v="133"/>
    <n v="45599"/>
    <n v="52"/>
    <s v="Bachelor's"/>
    <n v="31.2"/>
  </r>
  <r>
    <n v="136"/>
    <x v="1"/>
    <x v="4"/>
    <x v="4"/>
    <x v="2"/>
    <x v="0"/>
    <x v="15"/>
    <s v="Denver, CO"/>
    <n v="1.6"/>
    <s v="On-site"/>
    <n v="3.6"/>
    <x v="134"/>
    <n v="45547"/>
    <n v="47"/>
    <s v="Self-taught"/>
    <n v="14.9"/>
  </r>
  <r>
    <n v="137"/>
    <x v="6"/>
    <x v="15"/>
    <x v="0"/>
    <x v="3"/>
    <x v="3"/>
    <x v="61"/>
    <s v="Los Angeles, CA"/>
    <n v="15"/>
    <s v="Remote"/>
    <n v="4"/>
    <x v="135"/>
    <n v="45637"/>
    <n v="49"/>
    <s v="Bootcamp"/>
    <n v="31.7"/>
  </r>
  <r>
    <n v="138"/>
    <x v="6"/>
    <x v="13"/>
    <x v="7"/>
    <x v="3"/>
    <x v="0"/>
    <x v="83"/>
    <s v="Remote"/>
    <n v="16.899999999999999"/>
    <s v="Remote"/>
    <n v="3.9"/>
    <x v="136"/>
    <n v="45759"/>
    <n v="38"/>
    <s v="Master's"/>
    <n v="30"/>
  </r>
  <r>
    <n v="139"/>
    <x v="6"/>
    <x v="10"/>
    <x v="5"/>
    <x v="2"/>
    <x v="2"/>
    <x v="84"/>
    <s v="Seattle, WA"/>
    <n v="1.1000000000000001"/>
    <s v="On-site"/>
    <n v="3.1"/>
    <x v="137"/>
    <n v="45511"/>
    <n v="17"/>
    <s v="Self-taught"/>
    <n v="60.2"/>
  </r>
  <r>
    <n v="140"/>
    <x v="14"/>
    <x v="10"/>
    <x v="6"/>
    <x v="1"/>
    <x v="2"/>
    <x v="90"/>
    <s v="Remote"/>
    <n v="4.9000000000000004"/>
    <s v="Remote"/>
    <n v="4.9000000000000004"/>
    <x v="138"/>
    <n v="45830"/>
    <n v="43"/>
    <s v="Master's"/>
    <n v="30.7"/>
  </r>
  <r>
    <n v="141"/>
    <x v="1"/>
    <x v="4"/>
    <x v="5"/>
    <x v="0"/>
    <x v="0"/>
    <x v="31"/>
    <s v="Remote"/>
    <n v="6.2"/>
    <s v="Remote"/>
    <n v="4.8"/>
    <x v="139"/>
    <n v="45637"/>
    <n v="63"/>
    <s v="Master's"/>
    <n v="28.4"/>
  </r>
  <r>
    <n v="142"/>
    <x v="11"/>
    <x v="27"/>
    <x v="4"/>
    <x v="1"/>
    <x v="0"/>
    <x v="25"/>
    <s v="Toronto, Canada"/>
    <n v="2.9"/>
    <s v="Remote"/>
    <n v="3.5"/>
    <x v="140"/>
    <n v="45824"/>
    <n v="26"/>
    <s v="PhD"/>
    <n v="63.7"/>
  </r>
  <r>
    <n v="143"/>
    <x v="10"/>
    <x v="25"/>
    <x v="6"/>
    <x v="4"/>
    <x v="0"/>
    <x v="91"/>
    <s v="Los Angeles, CA"/>
    <n v="7.7"/>
    <s v="Remote"/>
    <n v="3.4"/>
    <x v="141"/>
    <n v="45816"/>
    <n v="8"/>
    <s v="Bachelor's"/>
    <n v="32.1"/>
  </r>
  <r>
    <n v="144"/>
    <x v="2"/>
    <x v="18"/>
    <x v="4"/>
    <x v="2"/>
    <x v="1"/>
    <x v="30"/>
    <s v="Chicago, IL"/>
    <n v="1"/>
    <s v="Remote"/>
    <n v="4.2"/>
    <x v="142"/>
    <n v="45482"/>
    <n v="5"/>
    <s v="Self-taught"/>
    <n v="44.6"/>
  </r>
  <r>
    <n v="145"/>
    <x v="9"/>
    <x v="7"/>
    <x v="2"/>
    <x v="3"/>
    <x v="3"/>
    <x v="43"/>
    <s v="Toronto, Canada"/>
    <n v="16.399999999999999"/>
    <s v="On-site"/>
    <n v="3.2"/>
    <x v="143"/>
    <n v="45572"/>
    <n v="44"/>
    <s v="Self-taught"/>
    <n v="17.7"/>
  </r>
  <r>
    <n v="146"/>
    <x v="13"/>
    <x v="15"/>
    <x v="1"/>
    <x v="2"/>
    <x v="0"/>
    <x v="67"/>
    <s v="Berlin, Germany"/>
    <n v="1.1000000000000001"/>
    <s v="On-site"/>
    <n v="3.5"/>
    <x v="144"/>
    <n v="45490"/>
    <n v="10"/>
    <s v="Bootcamp"/>
    <n v="29.1"/>
  </r>
  <r>
    <n v="147"/>
    <x v="14"/>
    <x v="12"/>
    <x v="0"/>
    <x v="2"/>
    <x v="1"/>
    <x v="92"/>
    <s v="Singapore"/>
    <n v="1.7"/>
    <s v="Hybrid"/>
    <n v="3.7"/>
    <x v="145"/>
    <n v="45591"/>
    <n v="18"/>
    <s v="Self-taught"/>
    <n v="37.799999999999997"/>
  </r>
  <r>
    <n v="148"/>
    <x v="9"/>
    <x v="29"/>
    <x v="3"/>
    <x v="0"/>
    <x v="2"/>
    <x v="76"/>
    <s v="New York, NY"/>
    <n v="5.7"/>
    <s v="Hybrid"/>
    <n v="3"/>
    <x v="146"/>
    <n v="45838"/>
    <n v="57"/>
    <s v="Bootcamp"/>
    <n v="78.599999999999994"/>
  </r>
  <r>
    <n v="149"/>
    <x v="6"/>
    <x v="17"/>
    <x v="4"/>
    <x v="3"/>
    <x v="1"/>
    <x v="68"/>
    <s v="Remote"/>
    <n v="13.1"/>
    <s v="Hybrid"/>
    <n v="4.5999999999999996"/>
    <x v="147"/>
    <n v="45501"/>
    <n v="11"/>
    <s v="Bootcamp"/>
    <n v="15.9"/>
  </r>
  <r>
    <n v="150"/>
    <x v="7"/>
    <x v="21"/>
    <x v="1"/>
    <x v="0"/>
    <x v="0"/>
    <x v="45"/>
    <s v="Berlin, Germany"/>
    <n v="7"/>
    <s v="Remote"/>
    <n v="4.9000000000000004"/>
    <x v="148"/>
    <n v="45668"/>
    <n v="10"/>
    <s v="Self-taught"/>
    <n v="21.6"/>
  </r>
  <r>
    <n v="151"/>
    <x v="1"/>
    <x v="1"/>
    <x v="3"/>
    <x v="2"/>
    <x v="0"/>
    <x v="44"/>
    <s v="Boston, MA"/>
    <n v="1.5"/>
    <s v="Remote"/>
    <n v="3.2"/>
    <x v="149"/>
    <n v="45612"/>
    <n v="11"/>
    <s v="Master's"/>
    <n v="2.9"/>
  </r>
  <r>
    <n v="152"/>
    <x v="11"/>
    <x v="23"/>
    <x v="1"/>
    <x v="2"/>
    <x v="0"/>
    <x v="93"/>
    <s v="Seattle, WA"/>
    <n v="1.2"/>
    <s v="On-site"/>
    <n v="4.7"/>
    <x v="150"/>
    <n v="45517"/>
    <n v="51"/>
    <s v="Self-taught"/>
    <n v="76.5"/>
  </r>
  <r>
    <n v="153"/>
    <x v="1"/>
    <x v="5"/>
    <x v="7"/>
    <x v="4"/>
    <x v="0"/>
    <x v="94"/>
    <s v="Remote"/>
    <n v="8.3000000000000007"/>
    <s v="Remote"/>
    <n v="3.3"/>
    <x v="151"/>
    <n v="45658"/>
    <n v="21"/>
    <s v="Master's"/>
    <n v="59.9"/>
  </r>
  <r>
    <n v="154"/>
    <x v="10"/>
    <x v="24"/>
    <x v="4"/>
    <x v="4"/>
    <x v="0"/>
    <x v="23"/>
    <s v="San Francisco, CA"/>
    <n v="11.7"/>
    <s v="Remote"/>
    <n v="4.2"/>
    <x v="152"/>
    <n v="45778"/>
    <n v="13"/>
    <s v="PhD"/>
    <n v="23.9"/>
  </r>
  <r>
    <n v="155"/>
    <x v="8"/>
    <x v="10"/>
    <x v="6"/>
    <x v="0"/>
    <x v="0"/>
    <x v="95"/>
    <s v="Remote"/>
    <n v="6.2"/>
    <s v="Hybrid"/>
    <n v="4"/>
    <x v="153"/>
    <n v="45675"/>
    <n v="28"/>
    <s v="Bachelor's"/>
    <n v="78.900000000000006"/>
  </r>
  <r>
    <n v="156"/>
    <x v="1"/>
    <x v="5"/>
    <x v="7"/>
    <x v="3"/>
    <x v="0"/>
    <x v="96"/>
    <s v="Berlin, Germany"/>
    <n v="17.5"/>
    <s v="Remote"/>
    <n v="4.5999999999999996"/>
    <x v="154"/>
    <n v="45729"/>
    <n v="13"/>
    <s v="PhD"/>
    <n v="16.8"/>
  </r>
  <r>
    <n v="157"/>
    <x v="0"/>
    <x v="20"/>
    <x v="1"/>
    <x v="4"/>
    <x v="0"/>
    <x v="80"/>
    <s v="Singapore"/>
    <n v="9.9"/>
    <s v="Remote"/>
    <n v="4.8"/>
    <x v="155"/>
    <n v="45778"/>
    <n v="45"/>
    <s v="Bachelor's"/>
    <n v="4.8"/>
  </r>
  <r>
    <n v="158"/>
    <x v="1"/>
    <x v="26"/>
    <x v="5"/>
    <x v="1"/>
    <x v="0"/>
    <x v="97"/>
    <s v="London, UK"/>
    <n v="4.9000000000000004"/>
    <s v="Remote"/>
    <n v="4.5999999999999996"/>
    <x v="156"/>
    <n v="45587"/>
    <n v="37"/>
    <s v="Self-taught"/>
    <n v="45.2"/>
  </r>
  <r>
    <n v="159"/>
    <x v="8"/>
    <x v="5"/>
    <x v="4"/>
    <x v="4"/>
    <x v="0"/>
    <x v="57"/>
    <s v="Boston, MA"/>
    <n v="8.6999999999999993"/>
    <s v="Remote"/>
    <n v="3.2"/>
    <x v="157"/>
    <n v="45546"/>
    <n v="27"/>
    <s v="PhD"/>
    <n v="25.9"/>
  </r>
  <r>
    <n v="160"/>
    <x v="3"/>
    <x v="10"/>
    <x v="6"/>
    <x v="0"/>
    <x v="0"/>
    <x v="39"/>
    <s v="Berlin, Germany"/>
    <n v="6.3"/>
    <s v="Remote"/>
    <n v="4.5999999999999996"/>
    <x v="158"/>
    <n v="45805"/>
    <n v="11"/>
    <s v="Master's"/>
    <n v="78.7"/>
  </r>
  <r>
    <n v="161"/>
    <x v="8"/>
    <x v="14"/>
    <x v="7"/>
    <x v="3"/>
    <x v="0"/>
    <x v="98"/>
    <s v="Toronto, Canada"/>
    <n v="17.7"/>
    <s v="Remote"/>
    <n v="3.8"/>
    <x v="159"/>
    <n v="45695"/>
    <n v="30"/>
    <s v="Bachelor's"/>
    <n v="61.4"/>
  </r>
  <r>
    <n v="162"/>
    <x v="5"/>
    <x v="10"/>
    <x v="6"/>
    <x v="3"/>
    <x v="0"/>
    <x v="25"/>
    <s v="Chicago, IL"/>
    <n v="11.6"/>
    <s v="Hybrid"/>
    <n v="4.5999999999999996"/>
    <x v="160"/>
    <n v="45748"/>
    <n v="16"/>
    <s v="PhD"/>
    <n v="24.3"/>
  </r>
  <r>
    <n v="163"/>
    <x v="10"/>
    <x v="0"/>
    <x v="2"/>
    <x v="4"/>
    <x v="0"/>
    <x v="23"/>
    <s v="London, UK"/>
    <n v="10.1"/>
    <s v="Hybrid"/>
    <n v="3.7"/>
    <x v="161"/>
    <n v="45626"/>
    <n v="63"/>
    <s v="Self-taught"/>
    <n v="48.1"/>
  </r>
  <r>
    <n v="164"/>
    <x v="0"/>
    <x v="20"/>
    <x v="5"/>
    <x v="2"/>
    <x v="0"/>
    <x v="99"/>
    <s v="Los Angeles, CA"/>
    <n v="0.7"/>
    <s v="Remote"/>
    <n v="3.8"/>
    <x v="162"/>
    <n v="45723"/>
    <n v="45"/>
    <s v="Self-taught"/>
    <n v="57.4"/>
  </r>
  <r>
    <n v="165"/>
    <x v="0"/>
    <x v="29"/>
    <x v="7"/>
    <x v="3"/>
    <x v="0"/>
    <x v="100"/>
    <s v="Boston, MA"/>
    <n v="11.5"/>
    <s v="On-site"/>
    <n v="4.2"/>
    <x v="163"/>
    <n v="45670"/>
    <n v="40"/>
    <s v="Self-taught"/>
    <n v="53.8"/>
  </r>
  <r>
    <n v="166"/>
    <x v="11"/>
    <x v="26"/>
    <x v="6"/>
    <x v="4"/>
    <x v="1"/>
    <x v="13"/>
    <s v="Singapore"/>
    <n v="7.8"/>
    <s v="Hybrid"/>
    <n v="4.5999999999999996"/>
    <x v="120"/>
    <n v="45589"/>
    <n v="39"/>
    <s v="PhD"/>
    <n v="10.1"/>
  </r>
  <r>
    <n v="167"/>
    <x v="10"/>
    <x v="5"/>
    <x v="6"/>
    <x v="3"/>
    <x v="0"/>
    <x v="101"/>
    <s v="Austin, TX"/>
    <n v="12.1"/>
    <s v="Hybrid"/>
    <n v="5"/>
    <x v="164"/>
    <n v="45753"/>
    <n v="18"/>
    <s v="Bootcamp"/>
    <n v="4.2"/>
  </r>
  <r>
    <n v="168"/>
    <x v="2"/>
    <x v="18"/>
    <x v="4"/>
    <x v="0"/>
    <x v="2"/>
    <x v="102"/>
    <s v="Berlin, Germany"/>
    <n v="6.1"/>
    <s v="Hybrid"/>
    <n v="3.2"/>
    <x v="165"/>
    <n v="45581"/>
    <n v="56"/>
    <s v="Self-taught"/>
    <n v="57"/>
  </r>
  <r>
    <n v="169"/>
    <x v="2"/>
    <x v="1"/>
    <x v="1"/>
    <x v="1"/>
    <x v="0"/>
    <x v="103"/>
    <s v="Chicago, IL"/>
    <n v="4.4000000000000004"/>
    <s v="Remote"/>
    <n v="4.0999999999999996"/>
    <x v="166"/>
    <n v="45622"/>
    <n v="41"/>
    <s v="PhD"/>
    <n v="80.7"/>
  </r>
  <r>
    <n v="170"/>
    <x v="14"/>
    <x v="28"/>
    <x v="3"/>
    <x v="1"/>
    <x v="3"/>
    <x v="84"/>
    <s v="New York, NY"/>
    <n v="5"/>
    <s v="Hybrid"/>
    <n v="3.3"/>
    <x v="167"/>
    <n v="45638"/>
    <n v="58"/>
    <s v="Master's"/>
    <n v="63.5"/>
  </r>
  <r>
    <n v="171"/>
    <x v="0"/>
    <x v="13"/>
    <x v="6"/>
    <x v="1"/>
    <x v="0"/>
    <x v="104"/>
    <s v="Toronto, Canada"/>
    <n v="3.1"/>
    <s v="Remote"/>
    <n v="4.5999999999999996"/>
    <x v="79"/>
    <n v="45616"/>
    <n v="49"/>
    <s v="PhD"/>
    <n v="35.9"/>
  </r>
  <r>
    <n v="172"/>
    <x v="10"/>
    <x v="21"/>
    <x v="0"/>
    <x v="2"/>
    <x v="1"/>
    <x v="48"/>
    <s v="Remote"/>
    <n v="1.7"/>
    <s v="On-site"/>
    <n v="3.8"/>
    <x v="168"/>
    <n v="45639"/>
    <n v="58"/>
    <s v="PhD"/>
    <n v="25.4"/>
  </r>
  <r>
    <n v="173"/>
    <x v="12"/>
    <x v="20"/>
    <x v="6"/>
    <x v="0"/>
    <x v="2"/>
    <x v="34"/>
    <s v="New York, NY"/>
    <n v="5.4"/>
    <s v="Hybrid"/>
    <n v="3.9"/>
    <x v="169"/>
    <n v="45699"/>
    <n v="34"/>
    <s v="Bachelor's"/>
    <n v="84.3"/>
  </r>
  <r>
    <n v="174"/>
    <x v="11"/>
    <x v="10"/>
    <x v="7"/>
    <x v="0"/>
    <x v="0"/>
    <x v="65"/>
    <s v="Seattle, WA"/>
    <n v="7.6"/>
    <s v="Remote"/>
    <n v="3.7"/>
    <x v="170"/>
    <n v="45832"/>
    <n v="53"/>
    <s v="Master's"/>
    <n v="33.6"/>
  </r>
  <r>
    <n v="175"/>
    <x v="7"/>
    <x v="1"/>
    <x v="3"/>
    <x v="2"/>
    <x v="0"/>
    <x v="70"/>
    <s v="Boston, MA"/>
    <n v="1.2"/>
    <s v="Hybrid"/>
    <n v="3.9"/>
    <x v="171"/>
    <n v="45690"/>
    <n v="49"/>
    <s v="Master's"/>
    <n v="38"/>
  </r>
  <r>
    <n v="176"/>
    <x v="1"/>
    <x v="13"/>
    <x v="3"/>
    <x v="2"/>
    <x v="0"/>
    <x v="65"/>
    <s v="Remote"/>
    <n v="0.3"/>
    <s v="On-site"/>
    <n v="4.5"/>
    <x v="172"/>
    <n v="45509"/>
    <n v="38"/>
    <s v="Self-taught"/>
    <n v="-4.2"/>
  </r>
  <r>
    <n v="177"/>
    <x v="0"/>
    <x v="17"/>
    <x v="6"/>
    <x v="0"/>
    <x v="1"/>
    <x v="63"/>
    <s v="Boston, MA"/>
    <n v="8.6999999999999993"/>
    <s v="Remote"/>
    <n v="3.9"/>
    <x v="173"/>
    <n v="45537"/>
    <n v="42"/>
    <s v="Bootcamp"/>
    <n v="26.6"/>
  </r>
  <r>
    <n v="178"/>
    <x v="11"/>
    <x v="21"/>
    <x v="7"/>
    <x v="1"/>
    <x v="0"/>
    <x v="2"/>
    <s v="Denver, CO"/>
    <n v="3.7"/>
    <s v="Hybrid"/>
    <n v="4.2"/>
    <x v="174"/>
    <n v="45739"/>
    <n v="43"/>
    <s v="Self-taught"/>
    <n v="12"/>
  </r>
  <r>
    <n v="179"/>
    <x v="11"/>
    <x v="3"/>
    <x v="0"/>
    <x v="1"/>
    <x v="0"/>
    <x v="4"/>
    <s v="Denver, CO"/>
    <n v="3.5"/>
    <s v="Remote"/>
    <n v="4.0999999999999996"/>
    <x v="175"/>
    <n v="45672"/>
    <n v="60"/>
    <s v="Self-taught"/>
    <n v="32.9"/>
  </r>
  <r>
    <n v="180"/>
    <x v="14"/>
    <x v="26"/>
    <x v="7"/>
    <x v="4"/>
    <x v="3"/>
    <x v="105"/>
    <s v="San Francisco, CA"/>
    <n v="9.9"/>
    <s v="Remote"/>
    <n v="3.4"/>
    <x v="176"/>
    <n v="45620"/>
    <n v="45"/>
    <s v="Self-taught"/>
    <n v="64"/>
  </r>
  <r>
    <n v="181"/>
    <x v="11"/>
    <x v="1"/>
    <x v="1"/>
    <x v="2"/>
    <x v="0"/>
    <x v="106"/>
    <s v="Boston, MA"/>
    <n v="0.6"/>
    <s v="Remote"/>
    <n v="4"/>
    <x v="177"/>
    <n v="45641"/>
    <n v="30"/>
    <s v="Self-taught"/>
    <n v="52.1"/>
  </r>
  <r>
    <n v="182"/>
    <x v="2"/>
    <x v="18"/>
    <x v="3"/>
    <x v="0"/>
    <x v="1"/>
    <x v="44"/>
    <s v="New York, NY"/>
    <n v="6"/>
    <s v="Hybrid"/>
    <n v="3.2"/>
    <x v="178"/>
    <n v="45563"/>
    <n v="12"/>
    <s v="Bachelor's"/>
    <n v="58.7"/>
  </r>
  <r>
    <n v="183"/>
    <x v="8"/>
    <x v="7"/>
    <x v="7"/>
    <x v="4"/>
    <x v="3"/>
    <x v="61"/>
    <s v="Atlanta, GA"/>
    <n v="7.8"/>
    <s v="Remote"/>
    <n v="4.5999999999999996"/>
    <x v="179"/>
    <n v="45645"/>
    <n v="56"/>
    <s v="Bootcamp"/>
    <n v="19.5"/>
  </r>
  <r>
    <n v="184"/>
    <x v="7"/>
    <x v="15"/>
    <x v="3"/>
    <x v="4"/>
    <x v="0"/>
    <x v="107"/>
    <s v="New York, NY"/>
    <n v="9.5"/>
    <s v="Hybrid"/>
    <n v="3.7"/>
    <x v="180"/>
    <n v="45533"/>
    <n v="19"/>
    <s v="Self-taught"/>
    <n v="-4.8"/>
  </r>
  <r>
    <n v="185"/>
    <x v="2"/>
    <x v="22"/>
    <x v="0"/>
    <x v="1"/>
    <x v="0"/>
    <x v="108"/>
    <s v="London, UK"/>
    <n v="4.8"/>
    <s v="Remote"/>
    <n v="4.9000000000000004"/>
    <x v="181"/>
    <n v="45809"/>
    <n v="31"/>
    <s v="Master's"/>
    <n v="24"/>
  </r>
  <r>
    <n v="186"/>
    <x v="11"/>
    <x v="29"/>
    <x v="5"/>
    <x v="0"/>
    <x v="1"/>
    <x v="45"/>
    <s v="Remote"/>
    <n v="5.5"/>
    <s v="Remote"/>
    <n v="3.1"/>
    <x v="182"/>
    <n v="45679"/>
    <n v="9"/>
    <s v="Bootcamp"/>
    <n v="72.900000000000006"/>
  </r>
  <r>
    <n v="187"/>
    <x v="3"/>
    <x v="22"/>
    <x v="2"/>
    <x v="0"/>
    <x v="0"/>
    <x v="1"/>
    <s v="San Francisco, CA"/>
    <n v="6.5"/>
    <s v="Remote"/>
    <n v="4.5999999999999996"/>
    <x v="183"/>
    <n v="45726"/>
    <n v="54"/>
    <s v="Master's"/>
    <n v="60.9"/>
  </r>
  <r>
    <n v="188"/>
    <x v="14"/>
    <x v="19"/>
    <x v="4"/>
    <x v="1"/>
    <x v="0"/>
    <x v="84"/>
    <s v="San Francisco, CA"/>
    <n v="2.7"/>
    <s v="Remote"/>
    <n v="4.7"/>
    <x v="184"/>
    <n v="45810"/>
    <n v="29"/>
    <s v="PhD"/>
    <n v="4.4000000000000004"/>
  </r>
  <r>
    <n v="189"/>
    <x v="14"/>
    <x v="14"/>
    <x v="1"/>
    <x v="4"/>
    <x v="3"/>
    <x v="9"/>
    <s v="Atlanta, GA"/>
    <n v="7.5"/>
    <s v="On-site"/>
    <n v="4.8"/>
    <x v="185"/>
    <n v="45771"/>
    <n v="11"/>
    <s v="Self-taught"/>
    <n v="7"/>
  </r>
  <r>
    <n v="190"/>
    <x v="2"/>
    <x v="13"/>
    <x v="3"/>
    <x v="3"/>
    <x v="0"/>
    <x v="80"/>
    <s v="Boston, MA"/>
    <n v="11.9"/>
    <s v="Remote"/>
    <n v="3.6"/>
    <x v="186"/>
    <n v="45636"/>
    <n v="33"/>
    <s v="PhD"/>
    <n v="16"/>
  </r>
  <r>
    <n v="191"/>
    <x v="1"/>
    <x v="20"/>
    <x v="3"/>
    <x v="1"/>
    <x v="0"/>
    <x v="51"/>
    <s v="Berlin, Germany"/>
    <n v="2.9"/>
    <s v="Remote"/>
    <n v="3.7"/>
    <x v="187"/>
    <n v="45609"/>
    <n v="59"/>
    <s v="Bachelor's"/>
    <n v="3.1"/>
  </r>
  <r>
    <n v="192"/>
    <x v="3"/>
    <x v="26"/>
    <x v="2"/>
    <x v="3"/>
    <x v="0"/>
    <x v="64"/>
    <s v="Boston, MA"/>
    <n v="10.7"/>
    <s v="Remote"/>
    <n v="3.7"/>
    <x v="188"/>
    <n v="45489"/>
    <n v="65"/>
    <s v="Bootcamp"/>
    <n v="71.900000000000006"/>
  </r>
  <r>
    <n v="193"/>
    <x v="14"/>
    <x v="25"/>
    <x v="4"/>
    <x v="2"/>
    <x v="0"/>
    <x v="109"/>
    <s v="Austin, TX"/>
    <n v="0"/>
    <s v="On-site"/>
    <n v="5"/>
    <x v="189"/>
    <n v="45664"/>
    <n v="48"/>
    <s v="Bachelor's"/>
    <n v="47.4"/>
  </r>
  <r>
    <n v="194"/>
    <x v="6"/>
    <x v="29"/>
    <x v="3"/>
    <x v="2"/>
    <x v="3"/>
    <x v="93"/>
    <s v="Berlin, Germany"/>
    <n v="1.6"/>
    <s v="Remote"/>
    <n v="4.7"/>
    <x v="190"/>
    <n v="45560"/>
    <n v="64"/>
    <s v="Self-taught"/>
    <n v="34"/>
  </r>
  <r>
    <n v="195"/>
    <x v="8"/>
    <x v="13"/>
    <x v="6"/>
    <x v="2"/>
    <x v="0"/>
    <x v="72"/>
    <s v="Los Angeles, CA"/>
    <n v="0.7"/>
    <s v="On-site"/>
    <n v="3.5"/>
    <x v="191"/>
    <n v="45791"/>
    <n v="44"/>
    <s v="Master's"/>
    <n v="53.3"/>
  </r>
  <r>
    <n v="196"/>
    <x v="10"/>
    <x v="16"/>
    <x v="6"/>
    <x v="2"/>
    <x v="0"/>
    <x v="110"/>
    <s v="Boston, MA"/>
    <n v="0.8"/>
    <s v="Hybrid"/>
    <n v="4.5999999999999996"/>
    <x v="192"/>
    <n v="45483"/>
    <n v="29"/>
    <s v="PhD"/>
    <n v="38.200000000000003"/>
  </r>
  <r>
    <n v="197"/>
    <x v="3"/>
    <x v="12"/>
    <x v="5"/>
    <x v="3"/>
    <x v="0"/>
    <x v="111"/>
    <s v="Atlanta, GA"/>
    <n v="11.4"/>
    <s v="Remote"/>
    <n v="3.4"/>
    <x v="193"/>
    <n v="45657"/>
    <n v="54"/>
    <s v="Self-taught"/>
    <n v="85"/>
  </r>
  <r>
    <n v="198"/>
    <x v="4"/>
    <x v="0"/>
    <x v="4"/>
    <x v="1"/>
    <x v="0"/>
    <x v="44"/>
    <s v="New York, NY"/>
    <n v="4.3"/>
    <s v="On-site"/>
    <n v="4.2"/>
    <x v="194"/>
    <n v="45595"/>
    <n v="42"/>
    <s v="PhD"/>
    <n v="67.599999999999994"/>
  </r>
  <r>
    <n v="199"/>
    <x v="8"/>
    <x v="2"/>
    <x v="0"/>
    <x v="0"/>
    <x v="3"/>
    <x v="112"/>
    <s v="Boston, MA"/>
    <n v="7.3"/>
    <s v="Remote"/>
    <n v="5"/>
    <x v="195"/>
    <n v="45493"/>
    <n v="10"/>
    <s v="Bachelor's"/>
    <n v="15.9"/>
  </r>
  <r>
    <n v="200"/>
    <x v="1"/>
    <x v="7"/>
    <x v="6"/>
    <x v="2"/>
    <x v="0"/>
    <x v="77"/>
    <s v="Chicago, IL"/>
    <n v="1.6"/>
    <s v="Remote"/>
    <n v="3.4"/>
    <x v="196"/>
    <n v="45834"/>
    <n v="63"/>
    <s v="Master's"/>
    <n v="64.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C1981B7-4943-46C1-B1C0-E720C68FB2EA}"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B3:C19" firstHeaderRow="1" firstDataRow="1" firstDataCol="1"/>
  <pivotFields count="16">
    <pivotField showAll="0"/>
    <pivotField axis="axisRow" showAll="0">
      <items count="16">
        <item x="14"/>
        <item x="9"/>
        <item x="5"/>
        <item x="10"/>
        <item x="1"/>
        <item x="8"/>
        <item x="13"/>
        <item x="4"/>
        <item x="3"/>
        <item x="0"/>
        <item x="7"/>
        <item x="11"/>
        <item x="6"/>
        <item x="12"/>
        <item x="2"/>
        <item t="default"/>
      </items>
    </pivotField>
    <pivotField showAll="0"/>
    <pivotField showAll="0"/>
    <pivotField showAll="0"/>
    <pivotField showAll="0"/>
    <pivotField dataField="1" showAll="0">
      <items count="114">
        <item x="60"/>
        <item x="92"/>
        <item x="109"/>
        <item x="19"/>
        <item x="38"/>
        <item x="22"/>
        <item x="6"/>
        <item x="17"/>
        <item x="89"/>
        <item x="30"/>
        <item x="42"/>
        <item x="18"/>
        <item x="41"/>
        <item x="54"/>
        <item x="99"/>
        <item x="21"/>
        <item x="93"/>
        <item x="70"/>
        <item x="90"/>
        <item x="67"/>
        <item x="71"/>
        <item x="84"/>
        <item x="106"/>
        <item x="2"/>
        <item x="4"/>
        <item x="55"/>
        <item x="5"/>
        <item x="105"/>
        <item x="34"/>
        <item x="103"/>
        <item x="9"/>
        <item x="110"/>
        <item x="8"/>
        <item x="48"/>
        <item x="102"/>
        <item x="33"/>
        <item x="108"/>
        <item x="104"/>
        <item x="82"/>
        <item x="26"/>
        <item x="72"/>
        <item x="15"/>
        <item x="74"/>
        <item x="25"/>
        <item x="65"/>
        <item x="44"/>
        <item x="0"/>
        <item x="16"/>
        <item x="50"/>
        <item x="3"/>
        <item x="73"/>
        <item x="56"/>
        <item x="53"/>
        <item x="77"/>
        <item x="36"/>
        <item x="47"/>
        <item x="52"/>
        <item x="97"/>
        <item x="11"/>
        <item x="45"/>
        <item x="46"/>
        <item x="85"/>
        <item x="76"/>
        <item x="43"/>
        <item x="37"/>
        <item x="66"/>
        <item x="35"/>
        <item x="75"/>
        <item x="39"/>
        <item x="1"/>
        <item x="28"/>
        <item x="63"/>
        <item x="13"/>
        <item x="81"/>
        <item x="40"/>
        <item x="32"/>
        <item x="51"/>
        <item x="24"/>
        <item x="12"/>
        <item x="83"/>
        <item x="107"/>
        <item x="27"/>
        <item x="95"/>
        <item x="100"/>
        <item x="80"/>
        <item x="23"/>
        <item x="78"/>
        <item x="91"/>
        <item x="68"/>
        <item x="112"/>
        <item x="86"/>
        <item x="69"/>
        <item x="59"/>
        <item x="64"/>
        <item x="31"/>
        <item x="62"/>
        <item x="7"/>
        <item x="111"/>
        <item x="88"/>
        <item x="94"/>
        <item x="29"/>
        <item x="57"/>
        <item x="20"/>
        <item x="61"/>
        <item x="87"/>
        <item x="58"/>
        <item x="49"/>
        <item x="10"/>
        <item x="101"/>
        <item x="98"/>
        <item x="79"/>
        <item x="14"/>
        <item x="96"/>
        <item t="default"/>
      </items>
    </pivotField>
    <pivotField showAll="0"/>
    <pivotField showAll="0"/>
    <pivotField showAll="0"/>
    <pivotField showAll="0"/>
    <pivotField showAll="0"/>
    <pivotField showAll="0"/>
    <pivotField showAll="0"/>
    <pivotField showAll="0"/>
    <pivotField showAll="0"/>
  </pivotFields>
  <rowFields count="1">
    <field x="1"/>
  </rowFields>
  <rowItems count="16">
    <i>
      <x/>
    </i>
    <i>
      <x v="1"/>
    </i>
    <i>
      <x v="2"/>
    </i>
    <i>
      <x v="3"/>
    </i>
    <i>
      <x v="4"/>
    </i>
    <i>
      <x v="5"/>
    </i>
    <i>
      <x v="6"/>
    </i>
    <i>
      <x v="7"/>
    </i>
    <i>
      <x v="8"/>
    </i>
    <i>
      <x v="9"/>
    </i>
    <i>
      <x v="10"/>
    </i>
    <i>
      <x v="11"/>
    </i>
    <i>
      <x v="12"/>
    </i>
    <i>
      <x v="13"/>
    </i>
    <i>
      <x v="14"/>
    </i>
    <i t="grand">
      <x/>
    </i>
  </rowItems>
  <colItems count="1">
    <i/>
  </colItems>
  <dataFields count="1">
    <dataField name="Sum of Salary (USD)"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EEC3636-73F1-4C58-AF62-2450DAD34D57}" name="PivotTable6" cacheId="98"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location ref="B46:C77" firstHeaderRow="1" firstDataRow="1" firstDataCol="1"/>
  <pivotFields count="2">
    <pivotField axis="axisRow" allDrilled="1" subtotalTop="0" showAll="0" sortType="descending"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31">
    <i>
      <x v="5"/>
    </i>
    <i>
      <x v="19"/>
    </i>
    <i>
      <x v="17"/>
    </i>
    <i>
      <x v="27"/>
    </i>
    <i>
      <x v="23"/>
    </i>
    <i>
      <x v="25"/>
    </i>
    <i>
      <x v="7"/>
    </i>
    <i>
      <x v="11"/>
    </i>
    <i>
      <x v="9"/>
    </i>
    <i>
      <x v="20"/>
    </i>
    <i>
      <x v="1"/>
    </i>
    <i>
      <x v="4"/>
    </i>
    <i>
      <x v="22"/>
    </i>
    <i>
      <x v="12"/>
    </i>
    <i>
      <x v="26"/>
    </i>
    <i>
      <x v="14"/>
    </i>
    <i>
      <x v="6"/>
    </i>
    <i>
      <x v="29"/>
    </i>
    <i>
      <x v="24"/>
    </i>
    <i>
      <x v="16"/>
    </i>
    <i>
      <x/>
    </i>
    <i>
      <x v="15"/>
    </i>
    <i>
      <x v="3"/>
    </i>
    <i>
      <x v="2"/>
    </i>
    <i>
      <x v="28"/>
    </i>
    <i>
      <x v="18"/>
    </i>
    <i>
      <x v="13"/>
    </i>
    <i>
      <x v="8"/>
    </i>
    <i>
      <x v="10"/>
    </i>
    <i>
      <x v="21"/>
    </i>
    <i t="grand">
      <x/>
    </i>
  </rowItems>
  <colItems count="1">
    <i/>
  </colItems>
  <dataFields count="1">
    <dataField name="Sum of Company Rating" fld="1" baseField="0" baseItem="0"/>
  </dataFields>
  <pivotHierarchies count="30">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F8D2DEC-CA3B-439B-9610-8D3477460270}" name="PivotTable5" cacheId="101"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location ref="C31:D40" firstHeaderRow="1" firstDataRow="1" firstDataCol="1"/>
  <pivotFields count="3">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Company" fld="0" subtotal="count" baseField="0" baseItem="0"/>
  </dataFields>
  <pivotHierarchies count="30">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548DCEE-E4E1-4FBE-A9F5-34CC0E858825}" name="PivotTable2" cacheId="104"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3">
  <location ref="A3:B19" firstHeaderRow="1" firstDataRow="1" firstDataCol="1"/>
  <pivotFields count="3">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dataField="1" subtotalTop="0" showAll="0" defaultSubtotal="0"/>
    <pivotField allDrilled="1" subtotalTop="0" showAll="0" dataSourceSort="1" defaultSubtotal="0" defaultAttributeDrillState="1"/>
  </pivotFields>
  <rowFields count="1">
    <field x="0"/>
  </rowFields>
  <rowItems count="16">
    <i>
      <x/>
    </i>
    <i>
      <x v="1"/>
    </i>
    <i>
      <x v="2"/>
    </i>
    <i>
      <x v="3"/>
    </i>
    <i>
      <x v="4"/>
    </i>
    <i>
      <x v="5"/>
    </i>
    <i>
      <x v="6"/>
    </i>
    <i>
      <x v="7"/>
    </i>
    <i>
      <x v="8"/>
    </i>
    <i>
      <x v="9"/>
    </i>
    <i>
      <x v="10"/>
    </i>
    <i>
      <x v="11"/>
    </i>
    <i>
      <x v="12"/>
    </i>
    <i>
      <x v="13"/>
    </i>
    <i>
      <x v="14"/>
    </i>
    <i t="grand">
      <x/>
    </i>
  </rowItems>
  <colItems count="1">
    <i/>
  </colItems>
  <dataFields count="1">
    <dataField name="Sum of Date Posted" fld="1"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30">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P$2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CAF5419-EEBC-46F5-83D1-2F511E342BDD}"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B19" firstHeaderRow="1" firstDataRow="1" firstDataCol="1"/>
  <pivotFields count="16">
    <pivotField showAll="0"/>
    <pivotField axis="axisRow" showAll="0">
      <items count="16">
        <item x="14"/>
        <item x="9"/>
        <item x="5"/>
        <item x="10"/>
        <item x="1"/>
        <item x="8"/>
        <item x="13"/>
        <item x="4"/>
        <item x="3"/>
        <item x="0"/>
        <item x="7"/>
        <item x="11"/>
        <item x="6"/>
        <item x="12"/>
        <item x="2"/>
        <item t="default"/>
      </items>
    </pivotField>
    <pivotField showAll="0">
      <items count="31">
        <item x="24"/>
        <item x="20"/>
        <item x="14"/>
        <item x="17"/>
        <item x="19"/>
        <item x="13"/>
        <item x="1"/>
        <item x="21"/>
        <item x="11"/>
        <item x="27"/>
        <item x="8"/>
        <item x="15"/>
        <item x="12"/>
        <item x="23"/>
        <item x="0"/>
        <item x="9"/>
        <item x="16"/>
        <item x="10"/>
        <item x="7"/>
        <item x="4"/>
        <item x="25"/>
        <item x="28"/>
        <item x="6"/>
        <item x="5"/>
        <item x="2"/>
        <item x="3"/>
        <item x="18"/>
        <item x="26"/>
        <item x="29"/>
        <item x="22"/>
        <item t="default"/>
      </items>
    </pivotField>
    <pivotField showAll="0"/>
    <pivotField showAll="0">
      <items count="6">
        <item x="2"/>
        <item x="4"/>
        <item x="1"/>
        <item x="3"/>
        <item x="0"/>
        <item t="default"/>
      </items>
    </pivotField>
    <pivotField dataField="1" showAll="0">
      <items count="5">
        <item x="1"/>
        <item x="3"/>
        <item x="0"/>
        <item x="2"/>
        <item t="default"/>
      </items>
    </pivotField>
    <pivotField showAll="0"/>
    <pivotField showAll="0"/>
    <pivotField showAll="0"/>
    <pivotField showAll="0"/>
    <pivotField showAll="0"/>
    <pivotField showAll="0"/>
    <pivotField showAll="0"/>
    <pivotField showAll="0"/>
    <pivotField showAll="0"/>
    <pivotField showAll="0"/>
  </pivotFields>
  <rowFields count="1">
    <field x="1"/>
  </rowFields>
  <rowItems count="16">
    <i>
      <x/>
    </i>
    <i>
      <x v="1"/>
    </i>
    <i>
      <x v="2"/>
    </i>
    <i>
      <x v="3"/>
    </i>
    <i>
      <x v="4"/>
    </i>
    <i>
      <x v="5"/>
    </i>
    <i>
      <x v="6"/>
    </i>
    <i>
      <x v="7"/>
    </i>
    <i>
      <x v="8"/>
    </i>
    <i>
      <x v="9"/>
    </i>
    <i>
      <x v="10"/>
    </i>
    <i>
      <x v="11"/>
    </i>
    <i>
      <x v="12"/>
    </i>
    <i>
      <x v="13"/>
    </i>
    <i>
      <x v="14"/>
    </i>
    <i t="grand">
      <x/>
    </i>
  </rowItems>
  <colItems count="1">
    <i/>
  </colItems>
  <dataFields count="1">
    <dataField name="Count of Employment Type" fld="5" subtotal="count" baseField="0" baseItem="0"/>
  </dataFields>
  <chartFormats count="3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 chart="0" format="5">
      <pivotArea type="data" outline="0" fieldPosition="0">
        <references count="2">
          <reference field="4294967294" count="1" selected="0">
            <x v="0"/>
          </reference>
          <reference field="1" count="1" selected="0">
            <x v="4"/>
          </reference>
        </references>
      </pivotArea>
    </chartFormat>
    <chartFormat chart="0" format="6">
      <pivotArea type="data" outline="0" fieldPosition="0">
        <references count="2">
          <reference field="4294967294" count="1" selected="0">
            <x v="0"/>
          </reference>
          <reference field="1" count="1" selected="0">
            <x v="5"/>
          </reference>
        </references>
      </pivotArea>
    </chartFormat>
    <chartFormat chart="0" format="7">
      <pivotArea type="data" outline="0" fieldPosition="0">
        <references count="2">
          <reference field="4294967294" count="1" selected="0">
            <x v="0"/>
          </reference>
          <reference field="1" count="1" selected="0">
            <x v="6"/>
          </reference>
        </references>
      </pivotArea>
    </chartFormat>
    <chartFormat chart="0" format="8">
      <pivotArea type="data" outline="0" fieldPosition="0">
        <references count="2">
          <reference field="4294967294" count="1" selected="0">
            <x v="0"/>
          </reference>
          <reference field="1" count="1" selected="0">
            <x v="7"/>
          </reference>
        </references>
      </pivotArea>
    </chartFormat>
    <chartFormat chart="0" format="9">
      <pivotArea type="data" outline="0" fieldPosition="0">
        <references count="2">
          <reference field="4294967294" count="1" selected="0">
            <x v="0"/>
          </reference>
          <reference field="1" count="1" selected="0">
            <x v="8"/>
          </reference>
        </references>
      </pivotArea>
    </chartFormat>
    <chartFormat chart="0" format="10">
      <pivotArea type="data" outline="0" fieldPosition="0">
        <references count="2">
          <reference field="4294967294" count="1" selected="0">
            <x v="0"/>
          </reference>
          <reference field="1" count="1" selected="0">
            <x v="9"/>
          </reference>
        </references>
      </pivotArea>
    </chartFormat>
    <chartFormat chart="0" format="11">
      <pivotArea type="data" outline="0" fieldPosition="0">
        <references count="2">
          <reference field="4294967294" count="1" selected="0">
            <x v="0"/>
          </reference>
          <reference field="1" count="1" selected="0">
            <x v="10"/>
          </reference>
        </references>
      </pivotArea>
    </chartFormat>
    <chartFormat chart="0" format="12">
      <pivotArea type="data" outline="0" fieldPosition="0">
        <references count="2">
          <reference field="4294967294" count="1" selected="0">
            <x v="0"/>
          </reference>
          <reference field="1" count="1" selected="0">
            <x v="11"/>
          </reference>
        </references>
      </pivotArea>
    </chartFormat>
    <chartFormat chart="0" format="13">
      <pivotArea type="data" outline="0" fieldPosition="0">
        <references count="2">
          <reference field="4294967294" count="1" selected="0">
            <x v="0"/>
          </reference>
          <reference field="1" count="1" selected="0">
            <x v="12"/>
          </reference>
        </references>
      </pivotArea>
    </chartFormat>
    <chartFormat chart="0" format="14">
      <pivotArea type="data" outline="0" fieldPosition="0">
        <references count="2">
          <reference field="4294967294" count="1" selected="0">
            <x v="0"/>
          </reference>
          <reference field="1" count="1" selected="0">
            <x v="13"/>
          </reference>
        </references>
      </pivotArea>
    </chartFormat>
    <chartFormat chart="0" format="15">
      <pivotArea type="data" outline="0" fieldPosition="0">
        <references count="2">
          <reference field="4294967294" count="1" selected="0">
            <x v="0"/>
          </reference>
          <reference field="1" count="1" selected="0">
            <x v="14"/>
          </reference>
        </references>
      </pivotArea>
    </chartFormat>
    <chartFormat chart="2" format="32" series="1">
      <pivotArea type="data" outline="0" fieldPosition="0">
        <references count="1">
          <reference field="4294967294" count="1" selected="0">
            <x v="0"/>
          </reference>
        </references>
      </pivotArea>
    </chartFormat>
    <chartFormat chart="2" format="33">
      <pivotArea type="data" outline="0" fieldPosition="0">
        <references count="2">
          <reference field="4294967294" count="1" selected="0">
            <x v="0"/>
          </reference>
          <reference field="1" count="1" selected="0">
            <x v="0"/>
          </reference>
        </references>
      </pivotArea>
    </chartFormat>
    <chartFormat chart="2" format="34">
      <pivotArea type="data" outline="0" fieldPosition="0">
        <references count="2">
          <reference field="4294967294" count="1" selected="0">
            <x v="0"/>
          </reference>
          <reference field="1" count="1" selected="0">
            <x v="1"/>
          </reference>
        </references>
      </pivotArea>
    </chartFormat>
    <chartFormat chart="2" format="35">
      <pivotArea type="data" outline="0" fieldPosition="0">
        <references count="2">
          <reference field="4294967294" count="1" selected="0">
            <x v="0"/>
          </reference>
          <reference field="1" count="1" selected="0">
            <x v="2"/>
          </reference>
        </references>
      </pivotArea>
    </chartFormat>
    <chartFormat chart="2" format="36">
      <pivotArea type="data" outline="0" fieldPosition="0">
        <references count="2">
          <reference field="4294967294" count="1" selected="0">
            <x v="0"/>
          </reference>
          <reference field="1" count="1" selected="0">
            <x v="3"/>
          </reference>
        </references>
      </pivotArea>
    </chartFormat>
    <chartFormat chart="2" format="37">
      <pivotArea type="data" outline="0" fieldPosition="0">
        <references count="2">
          <reference field="4294967294" count="1" selected="0">
            <x v="0"/>
          </reference>
          <reference field="1" count="1" selected="0">
            <x v="4"/>
          </reference>
        </references>
      </pivotArea>
    </chartFormat>
    <chartFormat chart="2" format="38">
      <pivotArea type="data" outline="0" fieldPosition="0">
        <references count="2">
          <reference field="4294967294" count="1" selected="0">
            <x v="0"/>
          </reference>
          <reference field="1" count="1" selected="0">
            <x v="5"/>
          </reference>
        </references>
      </pivotArea>
    </chartFormat>
    <chartFormat chart="2" format="39">
      <pivotArea type="data" outline="0" fieldPosition="0">
        <references count="2">
          <reference field="4294967294" count="1" selected="0">
            <x v="0"/>
          </reference>
          <reference field="1" count="1" selected="0">
            <x v="6"/>
          </reference>
        </references>
      </pivotArea>
    </chartFormat>
    <chartFormat chart="2" format="40">
      <pivotArea type="data" outline="0" fieldPosition="0">
        <references count="2">
          <reference field="4294967294" count="1" selected="0">
            <x v="0"/>
          </reference>
          <reference field="1" count="1" selected="0">
            <x v="7"/>
          </reference>
        </references>
      </pivotArea>
    </chartFormat>
    <chartFormat chart="2" format="41">
      <pivotArea type="data" outline="0" fieldPosition="0">
        <references count="2">
          <reference field="4294967294" count="1" selected="0">
            <x v="0"/>
          </reference>
          <reference field="1" count="1" selected="0">
            <x v="8"/>
          </reference>
        </references>
      </pivotArea>
    </chartFormat>
    <chartFormat chart="2" format="42">
      <pivotArea type="data" outline="0" fieldPosition="0">
        <references count="2">
          <reference field="4294967294" count="1" selected="0">
            <x v="0"/>
          </reference>
          <reference field="1" count="1" selected="0">
            <x v="9"/>
          </reference>
        </references>
      </pivotArea>
    </chartFormat>
    <chartFormat chart="2" format="43">
      <pivotArea type="data" outline="0" fieldPosition="0">
        <references count="2">
          <reference field="4294967294" count="1" selected="0">
            <x v="0"/>
          </reference>
          <reference field="1" count="1" selected="0">
            <x v="10"/>
          </reference>
        </references>
      </pivotArea>
    </chartFormat>
    <chartFormat chart="2" format="44">
      <pivotArea type="data" outline="0" fieldPosition="0">
        <references count="2">
          <reference field="4294967294" count="1" selected="0">
            <x v="0"/>
          </reference>
          <reference field="1" count="1" selected="0">
            <x v="11"/>
          </reference>
        </references>
      </pivotArea>
    </chartFormat>
    <chartFormat chart="2" format="45">
      <pivotArea type="data" outline="0" fieldPosition="0">
        <references count="2">
          <reference field="4294967294" count="1" selected="0">
            <x v="0"/>
          </reference>
          <reference field="1" count="1" selected="0">
            <x v="12"/>
          </reference>
        </references>
      </pivotArea>
    </chartFormat>
    <chartFormat chart="2" format="46">
      <pivotArea type="data" outline="0" fieldPosition="0">
        <references count="2">
          <reference field="4294967294" count="1" selected="0">
            <x v="0"/>
          </reference>
          <reference field="1" count="1" selected="0">
            <x v="13"/>
          </reference>
        </references>
      </pivotArea>
    </chartFormat>
    <chartFormat chart="2" format="47">
      <pivotArea type="data" outline="0" fieldPosition="0">
        <references count="2">
          <reference field="4294967294" count="1" selected="0">
            <x v="0"/>
          </reference>
          <reference field="1" count="1" selected="0">
            <x v="1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D5B2CD5-8A5D-42C9-97E6-0E9CD4CEA9B8}"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B19" firstHeaderRow="1" firstDataRow="1" firstDataCol="1"/>
  <pivotFields count="16">
    <pivotField showAll="0"/>
    <pivotField axis="axisRow" showAll="0">
      <items count="16">
        <item x="14"/>
        <item x="9"/>
        <item x="5"/>
        <item x="10"/>
        <item x="1"/>
        <item x="8"/>
        <item x="13"/>
        <item x="4"/>
        <item x="3"/>
        <item x="0"/>
        <item x="7"/>
        <item x="11"/>
        <item x="6"/>
        <item x="12"/>
        <item x="2"/>
        <item t="default"/>
      </items>
    </pivotField>
    <pivotField showAll="0">
      <items count="31">
        <item x="24"/>
        <item x="20"/>
        <item x="14"/>
        <item x="17"/>
        <item x="19"/>
        <item x="13"/>
        <item x="1"/>
        <item x="21"/>
        <item x="11"/>
        <item x="27"/>
        <item x="8"/>
        <item x="15"/>
        <item x="12"/>
        <item x="23"/>
        <item x="0"/>
        <item x="9"/>
        <item x="16"/>
        <item x="10"/>
        <item x="7"/>
        <item x="4"/>
        <item x="25"/>
        <item x="28"/>
        <item x="6"/>
        <item x="5"/>
        <item x="2"/>
        <item x="3"/>
        <item x="18"/>
        <item x="26"/>
        <item x="29"/>
        <item x="22"/>
        <item t="default"/>
      </items>
    </pivotField>
    <pivotField showAll="0">
      <items count="9">
        <item x="4"/>
        <item x="5"/>
        <item x="1"/>
        <item x="3"/>
        <item x="7"/>
        <item x="6"/>
        <item x="2"/>
        <item x="0"/>
        <item t="default"/>
      </items>
    </pivotField>
    <pivotField showAll="0">
      <items count="6">
        <item x="2"/>
        <item x="4"/>
        <item x="1"/>
        <item x="3"/>
        <item x="0"/>
        <item t="default"/>
      </items>
    </pivotField>
    <pivotField showAll="0"/>
    <pivotField dataField="1" showAll="0"/>
    <pivotField showAll="0"/>
    <pivotField showAll="0"/>
    <pivotField showAll="0"/>
    <pivotField showAll="0"/>
    <pivotField showAll="0"/>
    <pivotField showAll="0"/>
    <pivotField showAll="0"/>
    <pivotField showAll="0"/>
    <pivotField showAll="0"/>
  </pivotFields>
  <rowFields count="1">
    <field x="1"/>
  </rowFields>
  <rowItems count="16">
    <i>
      <x/>
    </i>
    <i>
      <x v="1"/>
    </i>
    <i>
      <x v="2"/>
    </i>
    <i>
      <x v="3"/>
    </i>
    <i>
      <x v="4"/>
    </i>
    <i>
      <x v="5"/>
    </i>
    <i>
      <x v="6"/>
    </i>
    <i>
      <x v="7"/>
    </i>
    <i>
      <x v="8"/>
    </i>
    <i>
      <x v="9"/>
    </i>
    <i>
      <x v="10"/>
    </i>
    <i>
      <x v="11"/>
    </i>
    <i>
      <x v="12"/>
    </i>
    <i>
      <x v="13"/>
    </i>
    <i>
      <x v="14"/>
    </i>
    <i t="grand">
      <x/>
    </i>
  </rowItems>
  <colItems count="1">
    <i/>
  </colItems>
  <dataFields count="1">
    <dataField name="Average of Salary (USD)" fld="6" subtotal="average" baseField="1"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F78A232-D93C-49FC-8F45-BDF4BC23DFD4}"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B19" firstHeaderRow="1" firstDataRow="1" firstDataCol="1"/>
  <pivotFields count="16">
    <pivotField showAll="0"/>
    <pivotField axis="axisRow" showAll="0">
      <items count="16">
        <item x="14"/>
        <item x="9"/>
        <item x="5"/>
        <item x="10"/>
        <item x="1"/>
        <item x="8"/>
        <item x="13"/>
        <item x="4"/>
        <item x="3"/>
        <item x="0"/>
        <item x="7"/>
        <item x="11"/>
        <item x="6"/>
        <item x="12"/>
        <item x="2"/>
        <item t="default"/>
      </items>
    </pivotField>
    <pivotField showAll="0">
      <items count="31">
        <item x="24"/>
        <item x="20"/>
        <item x="14"/>
        <item x="17"/>
        <item x="19"/>
        <item x="13"/>
        <item x="1"/>
        <item x="21"/>
        <item x="11"/>
        <item x="27"/>
        <item x="8"/>
        <item x="15"/>
        <item x="12"/>
        <item x="23"/>
        <item x="0"/>
        <item x="9"/>
        <item x="16"/>
        <item x="10"/>
        <item x="7"/>
        <item x="4"/>
        <item x="25"/>
        <item x="28"/>
        <item x="6"/>
        <item x="5"/>
        <item x="2"/>
        <item x="3"/>
        <item x="18"/>
        <item x="26"/>
        <item x="29"/>
        <item x="22"/>
        <item t="default"/>
      </items>
    </pivotField>
    <pivotField dataField="1" showAll="0">
      <items count="9">
        <item x="4"/>
        <item x="5"/>
        <item x="1"/>
        <item x="3"/>
        <item x="7"/>
        <item x="6"/>
        <item x="2"/>
        <item x="0"/>
        <item t="default"/>
      </items>
    </pivotField>
    <pivotField showAll="0">
      <items count="6">
        <item x="2"/>
        <item x="4"/>
        <item x="1"/>
        <item x="3"/>
        <item x="0"/>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16">
    <i>
      <x/>
    </i>
    <i>
      <x v="1"/>
    </i>
    <i>
      <x v="2"/>
    </i>
    <i>
      <x v="3"/>
    </i>
    <i>
      <x v="4"/>
    </i>
    <i>
      <x v="5"/>
    </i>
    <i>
      <x v="6"/>
    </i>
    <i>
      <x v="7"/>
    </i>
    <i>
      <x v="8"/>
    </i>
    <i>
      <x v="9"/>
    </i>
    <i>
      <x v="10"/>
    </i>
    <i>
      <x v="11"/>
    </i>
    <i>
      <x v="12"/>
    </i>
    <i>
      <x v="13"/>
    </i>
    <i>
      <x v="14"/>
    </i>
    <i t="grand">
      <x/>
    </i>
  </rowItems>
  <colItems count="1">
    <i/>
  </colItems>
  <dataFields count="1">
    <dataField name="Count of Sector" fld="3" subtotal="count"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BBACA95-8C4D-423D-98A4-905DE8492AD9}"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B34" firstHeaderRow="1" firstDataRow="1" firstDataCol="1"/>
  <pivotFields count="16">
    <pivotField showAll="0"/>
    <pivotField showAll="0">
      <items count="16">
        <item x="14"/>
        <item x="9"/>
        <item x="5"/>
        <item x="10"/>
        <item x="1"/>
        <item x="8"/>
        <item x="13"/>
        <item x="4"/>
        <item x="3"/>
        <item x="0"/>
        <item x="7"/>
        <item x="11"/>
        <item x="6"/>
        <item x="12"/>
        <item x="2"/>
        <item t="default"/>
      </items>
    </pivotField>
    <pivotField axis="axisRow" showAll="0">
      <items count="31">
        <item x="24"/>
        <item x="20"/>
        <item x="14"/>
        <item x="17"/>
        <item x="19"/>
        <item x="13"/>
        <item x="1"/>
        <item x="21"/>
        <item x="11"/>
        <item x="27"/>
        <item x="8"/>
        <item x="15"/>
        <item x="12"/>
        <item x="23"/>
        <item x="0"/>
        <item x="9"/>
        <item x="16"/>
        <item x="10"/>
        <item x="7"/>
        <item x="4"/>
        <item x="25"/>
        <item x="28"/>
        <item x="6"/>
        <item x="5"/>
        <item x="2"/>
        <item x="3"/>
        <item x="18"/>
        <item x="26"/>
        <item x="29"/>
        <item x="22"/>
        <item t="default"/>
      </items>
    </pivotField>
    <pivotField showAll="0">
      <items count="9">
        <item x="4"/>
        <item x="5"/>
        <item x="1"/>
        <item x="3"/>
        <item x="7"/>
        <item x="6"/>
        <item x="2"/>
        <item x="0"/>
        <item t="default"/>
      </items>
    </pivotField>
    <pivotField dataField="1" showAll="0">
      <items count="6">
        <item x="2"/>
        <item x="4"/>
        <item x="1"/>
        <item x="3"/>
        <item x="0"/>
        <item t="default"/>
      </items>
    </pivotField>
    <pivotField showAll="0"/>
    <pivotField showAll="0"/>
    <pivotField showAll="0"/>
    <pivotField showAll="0"/>
    <pivotField showAll="0"/>
    <pivotField showAll="0"/>
    <pivotField showAll="0">
      <items count="198">
        <item x="80"/>
        <item x="59"/>
        <item x="185"/>
        <item x="76"/>
        <item x="131"/>
        <item x="151"/>
        <item x="109"/>
        <item x="95"/>
        <item x="89"/>
        <item x="24"/>
        <item x="6"/>
        <item x="63"/>
        <item x="32"/>
        <item x="79"/>
        <item x="26"/>
        <item x="155"/>
        <item x="160"/>
        <item x="178"/>
        <item x="126"/>
        <item x="146"/>
        <item x="161"/>
        <item x="25"/>
        <item x="41"/>
        <item x="47"/>
        <item x="133"/>
        <item x="84"/>
        <item x="2"/>
        <item x="129"/>
        <item x="116"/>
        <item x="183"/>
        <item x="94"/>
        <item x="176"/>
        <item x="68"/>
        <item x="180"/>
        <item x="37"/>
        <item x="119"/>
        <item x="177"/>
        <item x="49"/>
        <item x="134"/>
        <item x="82"/>
        <item x="165"/>
        <item x="70"/>
        <item x="153"/>
        <item x="113"/>
        <item x="182"/>
        <item x="179"/>
        <item x="147"/>
        <item x="57"/>
        <item x="38"/>
        <item x="33"/>
        <item x="171"/>
        <item x="81"/>
        <item x="186"/>
        <item x="72"/>
        <item x="97"/>
        <item x="139"/>
        <item x="138"/>
        <item x="105"/>
        <item x="130"/>
        <item x="13"/>
        <item x="190"/>
        <item x="10"/>
        <item x="110"/>
        <item x="67"/>
        <item x="173"/>
        <item x="154"/>
        <item x="73"/>
        <item x="44"/>
        <item x="117"/>
        <item x="65"/>
        <item x="55"/>
        <item x="14"/>
        <item x="150"/>
        <item x="99"/>
        <item x="5"/>
        <item x="96"/>
        <item x="36"/>
        <item x="120"/>
        <item x="43"/>
        <item x="88"/>
        <item x="87"/>
        <item x="53"/>
        <item x="149"/>
        <item x="107"/>
        <item x="52"/>
        <item x="48"/>
        <item x="193"/>
        <item x="66"/>
        <item x="156"/>
        <item x="20"/>
        <item x="114"/>
        <item x="101"/>
        <item x="69"/>
        <item x="188"/>
        <item x="91"/>
        <item x="121"/>
        <item x="0"/>
        <item x="196"/>
        <item x="158"/>
        <item x="174"/>
        <item x="163"/>
        <item x="162"/>
        <item x="22"/>
        <item x="71"/>
        <item x="170"/>
        <item x="15"/>
        <item x="148"/>
        <item x="27"/>
        <item x="159"/>
        <item x="1"/>
        <item x="42"/>
        <item x="46"/>
        <item x="16"/>
        <item x="184"/>
        <item x="118"/>
        <item x="56"/>
        <item x="102"/>
        <item x="34"/>
        <item x="175"/>
        <item x="194"/>
        <item x="115"/>
        <item x="86"/>
        <item x="106"/>
        <item x="137"/>
        <item x="192"/>
        <item x="77"/>
        <item x="50"/>
        <item x="141"/>
        <item x="104"/>
        <item x="93"/>
        <item x="135"/>
        <item x="12"/>
        <item x="172"/>
        <item x="19"/>
        <item x="61"/>
        <item x="18"/>
        <item x="112"/>
        <item x="58"/>
        <item x="142"/>
        <item x="7"/>
        <item x="157"/>
        <item x="191"/>
        <item x="62"/>
        <item x="21"/>
        <item x="8"/>
        <item x="169"/>
        <item x="90"/>
        <item x="122"/>
        <item x="39"/>
        <item x="92"/>
        <item x="145"/>
        <item x="123"/>
        <item x="108"/>
        <item x="164"/>
        <item x="74"/>
        <item x="23"/>
        <item x="4"/>
        <item x="60"/>
        <item x="144"/>
        <item x="30"/>
        <item x="132"/>
        <item x="168"/>
        <item x="140"/>
        <item x="28"/>
        <item x="85"/>
        <item x="51"/>
        <item x="187"/>
        <item x="64"/>
        <item x="152"/>
        <item x="100"/>
        <item x="83"/>
        <item x="128"/>
        <item x="111"/>
        <item x="31"/>
        <item x="54"/>
        <item x="75"/>
        <item x="124"/>
        <item x="45"/>
        <item x="103"/>
        <item x="98"/>
        <item x="167"/>
        <item x="127"/>
        <item x="3"/>
        <item x="35"/>
        <item x="189"/>
        <item x="29"/>
        <item x="136"/>
        <item x="181"/>
        <item x="195"/>
        <item x="40"/>
        <item x="11"/>
        <item x="166"/>
        <item x="143"/>
        <item x="125"/>
        <item x="78"/>
        <item x="9"/>
        <item x="17"/>
        <item t="default"/>
      </items>
    </pivotField>
    <pivotField showAll="0"/>
    <pivotField showAll="0"/>
    <pivotField showAll="0"/>
    <pivotField showAll="0"/>
  </pivotFields>
  <rowFields count="1">
    <field x="2"/>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Count of Experience Level" fld="4" subtotal="count" baseField="0" baseItem="0"/>
  </dataFields>
  <chartFormats count="2">
    <chartFormat chart="0" format="3"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 xr10:uid="{C2F43777-B680-413E-9964-99BA585AF410}" sourceName="Job Title">
  <pivotTables>
    <pivotTable tabId="15" name="PivotTable1"/>
    <pivotTable tabId="5" name="PivotTable4"/>
    <pivotTable tabId="10" name="PivotTable1"/>
    <pivotTable tabId="6" name="PivotTable5"/>
    <pivotTable tabId="4" name="PivotTable3"/>
  </pivotTables>
  <data>
    <tabular pivotCacheId="1692686456">
      <items count="15">
        <i x="14" s="1"/>
        <i x="9" s="1"/>
        <i x="5" s="1"/>
        <i x="10" s="1"/>
        <i x="1" s="1"/>
        <i x="8" s="1"/>
        <i x="13" s="1"/>
        <i x="4" s="1"/>
        <i x="3" s="1"/>
        <i x="0" s="1"/>
        <i x="7" s="1"/>
        <i x="11" s="1"/>
        <i x="6" s="1"/>
        <i x="12"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ctor" xr10:uid="{F0FE7F81-B504-4B89-A4BF-4E4110CDD504}" sourceName="[Range].[Sector]">
  <pivotTables>
    <pivotTable tabId="15" name="PivotTable5"/>
    <pivotTable tabId="3" name="PivotTable2"/>
    <pivotTable tabId="15" name="PivotTable6"/>
  </pivotTables>
  <data>
    <olap pivotCacheId="2098677534">
      <levels count="2">
        <level uniqueName="[Range].[Sector].[(All)]" sourceCaption="(All)" count="0"/>
        <level uniqueName="[Range].[Sector].[Sector]" sourceCaption="Sector" count="8">
          <ranges>
            <range startItem="0">
              <i n="[Range].[Sector].&amp;[Automotive]" c="Automotive"/>
              <i n="[Range].[Sector].&amp;[Defence]" c="Defence"/>
              <i n="[Range].[Sector].&amp;[Energy]" c="Energy"/>
              <i n="[Range].[Sector].&amp;[Finance]" c="Finance"/>
              <i n="[Range].[Sector].&amp;[Healthcare]" c="Healthcare"/>
              <i n="[Range].[Sector].&amp;[Media]" c="Media"/>
              <i n="[Range].[Sector].&amp;[Retail]" c="Retail"/>
              <i n="[Range].[Sector].&amp;[Technology]" c="Technology"/>
            </range>
          </ranges>
        </level>
      </levels>
      <selections count="1">
        <selection n="[Range].[Secto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pany" xr10:uid="{4C9AA648-5C7B-4F35-AC64-D265387AA7E4}" sourceName="[Range].[Company]">
  <pivotTables>
    <pivotTable tabId="15" name="PivotTable6"/>
    <pivotTable tabId="15" name="PivotTable5"/>
    <pivotTable tabId="3" name="PivotTable2"/>
  </pivotTables>
  <data>
    <olap pivotCacheId="2098677534">
      <levels count="2">
        <level uniqueName="[Range].[Company].[(All)]" sourceCaption="(All)" count="0"/>
        <level uniqueName="[Range].[Company].[Company]" sourceCaption="Company" count="30">
          <ranges>
            <range startItem="0">
              <i n="[Range].[Company].&amp;[Adobe]" c="Adobe"/>
              <i n="[Range].[Company].&amp;[Amazon]" c="Amazon"/>
              <i n="[Range].[Company].&amp;[Anthropic]" c="Anthropic"/>
              <i n="[Range].[Company].&amp;[Apple]" c="Apple"/>
              <i n="[Range].[Company].&amp;[C3.ai]" c="C3.ai"/>
              <i n="[Range].[Company].&amp;[Cohere]" c="Cohere"/>
              <i n="[Range].[Company].&amp;[Cruise]" c="Cruise"/>
              <i n="[Range].[Company].&amp;[Databricks]" c="Databricks"/>
              <i n="[Range].[Company].&amp;[DataRobot]" c="DataRobot"/>
              <i n="[Range].[Company].&amp;[Google DeepMind]" c="Google DeepMind"/>
              <i n="[Range].[Company].&amp;[H2O.ai]" c="H2O.ai"/>
              <i n="[Range].[Company].&amp;[Hugging Face]" c="Hugging Face"/>
              <i n="[Range].[Company].&amp;[IBM]" c="IBM"/>
              <i n="[Range].[Company].&amp;[Inflection AI]" c="Inflection AI"/>
              <i n="[Range].[Company].&amp;[Meta AI]" c="Meta AI"/>
              <i n="[Range].[Company].&amp;[Microsoft]" c="Microsoft"/>
              <i n="[Range].[Company].&amp;[Mistral AI]" c="Mistral AI"/>
              <i n="[Range].[Company].&amp;[Nvidia]" c="Nvidia"/>
              <i n="[Range].[Company].&amp;[OpenAI]" c="OpenAI"/>
              <i n="[Range].[Company].&amp;[Oracle]" c="Oracle"/>
              <i n="[Range].[Company].&amp;[Palantir]" c="Palantir"/>
              <i n="[Range].[Company].&amp;[Pinecone]" c="Pinecone"/>
              <i n="[Range].[Company].&amp;[Salesforce]" c="Salesforce"/>
              <i n="[Range].[Company].&amp;[SAP]" c="SAP"/>
              <i n="[Range].[Company].&amp;[Scale AI]" c="Scale AI"/>
              <i n="[Range].[Company].&amp;[Stability AI]" c="Stability AI"/>
              <i n="[Range].[Company].&amp;[Tesla]" c="Tesla"/>
              <i n="[Range].[Company].&amp;[Waymo]" c="Waymo"/>
              <i n="[Range].[Company].&amp;[Weaviate]" c="Weaviate"/>
              <i n="[Range].[Company].&amp;[Weights &amp; Biases]" c="Weights &amp; Biases"/>
            </range>
          </ranges>
        </level>
      </levels>
      <selections count="1">
        <selection n="[Range].[Compan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 Title 1" xr10:uid="{0C5EB2E8-E5B0-4FA4-AFB3-09F530598EF0}" cache="Slicer_Job_Title" caption="Job Title" rowHeight="234950"/>
  <slicer name="Sector 1" xr10:uid="{DB5CBAFA-2692-49A3-8EB0-07A070119441}" cache="Slicer_Sector" caption="Sector" startItem="5" level="1" rowHeight="234950"/>
  <slicer name="Company 1" xr10:uid="{65EB47B1-24B2-410A-8812-86F289B19B91}" cache="Slicer_Company" caption="Company"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 Title" xr10:uid="{10B9F2B9-2448-4143-BD36-407DDD6FB4D1}" cache="Slicer_Job_Title" caption="Job Title" rowHeight="234950"/>
  <slicer name="Sector" xr10:uid="{795699EF-DFF8-4B9C-9262-CFED6C4DC05B}" cache="Slicer_Sector" caption="Sector" level="1" rowHeight="234950"/>
  <slicer name="Company" xr10:uid="{27A800C4-42AF-4346-988F-5A0C97217B31}" cache="Slicer_Company" caption="Company" level="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2.xml"/><Relationship Id="rId5" Type="http://schemas.openxmlformats.org/officeDocument/2006/relationships/drawing" Target="../drawings/drawing2.xml"/><Relationship Id="rId4"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E0C644-2E72-4559-8C7B-31F46F807819}">
  <dimension ref="X7"/>
  <sheetViews>
    <sheetView tabSelected="1" zoomScale="92" zoomScaleNormal="70" workbookViewId="0">
      <selection activeCell="V12" sqref="V12"/>
    </sheetView>
  </sheetViews>
  <sheetFormatPr defaultRowHeight="14.4"/>
  <sheetData>
    <row r="7" spans="24:24">
      <c r="X7" s="8"/>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08255C-AE9F-409A-AD5E-5F6B92FC9811}">
  <dimension ref="B3:I77"/>
  <sheetViews>
    <sheetView topLeftCell="A3" zoomScale="79" zoomScaleNormal="79" workbookViewId="0">
      <selection activeCell="G8" sqref="G8"/>
    </sheetView>
  </sheetViews>
  <sheetFormatPr defaultRowHeight="14.4"/>
  <cols>
    <col min="2" max="2" width="17" bestFit="1" customWidth="1"/>
    <col min="3" max="3" width="13.44140625" bestFit="1" customWidth="1"/>
    <col min="4" max="4" width="17.21875" bestFit="1" customWidth="1"/>
    <col min="5" max="5" width="20.33203125" customWidth="1"/>
    <col min="6" max="6" width="17.21875" customWidth="1"/>
    <col min="7" max="7" width="16.77734375" customWidth="1"/>
    <col min="9" max="9" width="20.21875" customWidth="1"/>
  </cols>
  <sheetData>
    <row r="3" spans="2:9">
      <c r="B3" s="3" t="s">
        <v>297</v>
      </c>
      <c r="C3" t="s">
        <v>303</v>
      </c>
    </row>
    <row r="4" spans="2:9">
      <c r="B4" s="4" t="s">
        <v>135</v>
      </c>
      <c r="C4" s="2">
        <v>1665000</v>
      </c>
    </row>
    <row r="5" spans="2:9">
      <c r="B5" s="4" t="s">
        <v>77</v>
      </c>
      <c r="C5" s="2">
        <v>1186000</v>
      </c>
    </row>
    <row r="6" spans="2:9">
      <c r="B6" s="4" t="s">
        <v>52</v>
      </c>
      <c r="C6" s="2">
        <v>1442000</v>
      </c>
      <c r="E6" s="6" t="s">
        <v>305</v>
      </c>
    </row>
    <row r="7" spans="2:9">
      <c r="B7" s="4" t="s">
        <v>79</v>
      </c>
      <c r="C7" s="2">
        <v>3255000</v>
      </c>
    </row>
    <row r="8" spans="2:9">
      <c r="B8" s="4" t="s">
        <v>25</v>
      </c>
      <c r="C8" s="2">
        <v>3725000</v>
      </c>
    </row>
    <row r="9" spans="2:9">
      <c r="B9" s="4" t="s">
        <v>73</v>
      </c>
      <c r="C9" s="2">
        <v>3352000</v>
      </c>
    </row>
    <row r="10" spans="2:9">
      <c r="B10" s="4" t="s">
        <v>109</v>
      </c>
      <c r="C10" s="2">
        <v>1671000</v>
      </c>
      <c r="F10" t="s">
        <v>304</v>
      </c>
      <c r="I10" s="5"/>
    </row>
    <row r="11" spans="2:9">
      <c r="B11" s="4" t="s">
        <v>46</v>
      </c>
      <c r="C11" s="2">
        <v>1356000</v>
      </c>
      <c r="F11" t="str">
        <f>TEXT(C4,"#,##")</f>
        <v>1,665,000</v>
      </c>
    </row>
    <row r="12" spans="2:9">
      <c r="B12" s="4" t="s">
        <v>40</v>
      </c>
      <c r="C12" s="2">
        <v>2479000</v>
      </c>
    </row>
    <row r="13" spans="2:9">
      <c r="B13" s="4" t="s">
        <v>16</v>
      </c>
      <c r="C13" s="2">
        <v>1972000</v>
      </c>
    </row>
    <row r="14" spans="2:9">
      <c r="B14" s="4" t="s">
        <v>69</v>
      </c>
      <c r="C14" s="2">
        <v>1816000</v>
      </c>
    </row>
    <row r="15" spans="2:9">
      <c r="B15" s="4" t="s">
        <v>95</v>
      </c>
      <c r="C15" s="2">
        <v>3074000</v>
      </c>
    </row>
    <row r="16" spans="2:9">
      <c r="B16" s="4" t="s">
        <v>66</v>
      </c>
      <c r="C16" s="2">
        <v>1427000</v>
      </c>
    </row>
    <row r="17" spans="2:6">
      <c r="B17" s="4" t="s">
        <v>106</v>
      </c>
      <c r="C17" s="2">
        <v>1350000</v>
      </c>
    </row>
    <row r="18" spans="2:6">
      <c r="B18" s="4" t="s">
        <v>33</v>
      </c>
      <c r="C18" s="2">
        <v>1726000</v>
      </c>
    </row>
    <row r="19" spans="2:6">
      <c r="B19" s="4" t="s">
        <v>298</v>
      </c>
      <c r="C19" s="2">
        <v>31496000</v>
      </c>
    </row>
    <row r="30" spans="2:6">
      <c r="F30" s="8" t="s">
        <v>310</v>
      </c>
    </row>
    <row r="31" spans="2:6">
      <c r="C31" s="3" t="s">
        <v>297</v>
      </c>
      <c r="D31" t="s">
        <v>306</v>
      </c>
      <c r="F31" s="6" t="s">
        <v>308</v>
      </c>
    </row>
    <row r="32" spans="2:6">
      <c r="C32" s="4" t="s">
        <v>48</v>
      </c>
      <c r="D32" s="2">
        <v>26</v>
      </c>
      <c r="F32" t="str">
        <f>TEXT(D32,"#,##")</f>
        <v>26</v>
      </c>
    </row>
    <row r="33" spans="2:6">
      <c r="C33" s="4" t="s">
        <v>54</v>
      </c>
      <c r="D33" s="2">
        <v>25</v>
      </c>
    </row>
    <row r="34" spans="2:6">
      <c r="C34" s="4" t="s">
        <v>27</v>
      </c>
      <c r="D34" s="2">
        <v>21</v>
      </c>
    </row>
    <row r="35" spans="2:6">
      <c r="C35" s="4" t="s">
        <v>42</v>
      </c>
      <c r="D35" s="2">
        <v>26</v>
      </c>
    </row>
    <row r="36" spans="2:6">
      <c r="C36" s="4" t="s">
        <v>98</v>
      </c>
      <c r="D36" s="2">
        <v>22</v>
      </c>
    </row>
    <row r="37" spans="2:6">
      <c r="C37" s="4" t="s">
        <v>59</v>
      </c>
      <c r="D37" s="2">
        <v>39</v>
      </c>
    </row>
    <row r="38" spans="2:6">
      <c r="C38" s="4" t="s">
        <v>35</v>
      </c>
      <c r="D38" s="2">
        <v>24</v>
      </c>
    </row>
    <row r="39" spans="2:6">
      <c r="C39" s="4" t="s">
        <v>18</v>
      </c>
      <c r="D39" s="2">
        <v>17</v>
      </c>
    </row>
    <row r="40" spans="2:6">
      <c r="C40" s="4" t="s">
        <v>298</v>
      </c>
      <c r="D40" s="2">
        <v>200</v>
      </c>
    </row>
    <row r="46" spans="2:6">
      <c r="B46" s="3" t="s">
        <v>297</v>
      </c>
      <c r="C46" t="s">
        <v>307</v>
      </c>
    </row>
    <row r="47" spans="2:6" ht="15" customHeight="1">
      <c r="B47" s="4" t="s">
        <v>87</v>
      </c>
      <c r="C47" s="2">
        <v>54.3</v>
      </c>
      <c r="F47" s="7"/>
    </row>
    <row r="48" spans="2:6" ht="19.8" customHeight="1">
      <c r="B48" s="4" t="s">
        <v>47</v>
      </c>
      <c r="C48" s="2">
        <v>53</v>
      </c>
      <c r="D48" s="7"/>
      <c r="E48" s="7" t="s">
        <v>309</v>
      </c>
    </row>
    <row r="49" spans="2:5">
      <c r="B49" s="4" t="s">
        <v>74</v>
      </c>
      <c r="C49" s="2">
        <v>44.7</v>
      </c>
      <c r="E49" t="str">
        <f>TEXT(C47,"#,##")</f>
        <v>54</v>
      </c>
    </row>
    <row r="50" spans="2:5">
      <c r="B50" s="4" t="s">
        <v>152</v>
      </c>
      <c r="C50" s="2">
        <v>40</v>
      </c>
    </row>
    <row r="51" spans="2:5">
      <c r="B51" s="4" t="s">
        <v>53</v>
      </c>
      <c r="C51" s="2">
        <v>39.200000000000003</v>
      </c>
    </row>
    <row r="52" spans="2:5">
      <c r="B52" s="4" t="s">
        <v>41</v>
      </c>
      <c r="C52" s="2">
        <v>35.5</v>
      </c>
    </row>
    <row r="53" spans="2:5">
      <c r="B53" s="4" t="s">
        <v>117</v>
      </c>
      <c r="C53" s="2">
        <v>32.700000000000003</v>
      </c>
    </row>
    <row r="54" spans="2:5">
      <c r="B54" s="4" t="s">
        <v>93</v>
      </c>
      <c r="C54" s="2">
        <v>29.9</v>
      </c>
    </row>
    <row r="55" spans="2:5">
      <c r="B55" s="4" t="s">
        <v>158</v>
      </c>
      <c r="C55" s="2">
        <v>29.4</v>
      </c>
    </row>
    <row r="56" spans="2:5">
      <c r="B56" s="4" t="s">
        <v>143</v>
      </c>
      <c r="C56" s="2">
        <v>29.4</v>
      </c>
    </row>
    <row r="57" spans="2:5">
      <c r="B57" s="4" t="s">
        <v>115</v>
      </c>
      <c r="C57" s="2">
        <v>27.9</v>
      </c>
    </row>
    <row r="58" spans="2:5">
      <c r="B58" s="4" t="s">
        <v>113</v>
      </c>
      <c r="C58" s="2">
        <v>27.8</v>
      </c>
    </row>
    <row r="59" spans="2:5">
      <c r="B59" s="4" t="s">
        <v>58</v>
      </c>
      <c r="C59" s="2">
        <v>27.8</v>
      </c>
    </row>
    <row r="60" spans="2:5">
      <c r="B60" s="4" t="s">
        <v>83</v>
      </c>
      <c r="C60" s="2">
        <v>27.1</v>
      </c>
    </row>
    <row r="61" spans="2:5">
      <c r="B61" s="4" t="s">
        <v>111</v>
      </c>
      <c r="C61" s="2">
        <v>24.9</v>
      </c>
    </row>
    <row r="62" spans="2:5">
      <c r="B62" s="4" t="s">
        <v>17</v>
      </c>
      <c r="C62" s="2">
        <v>23.3</v>
      </c>
    </row>
    <row r="63" spans="2:5">
      <c r="B63" s="4" t="s">
        <v>26</v>
      </c>
      <c r="C63" s="2">
        <v>23.2</v>
      </c>
    </row>
    <row r="64" spans="2:5">
      <c r="B64" s="4" t="s">
        <v>129</v>
      </c>
      <c r="C64" s="2">
        <v>22.8</v>
      </c>
    </row>
    <row r="65" spans="2:3">
      <c r="B65" s="4" t="s">
        <v>34</v>
      </c>
      <c r="C65" s="2">
        <v>22</v>
      </c>
    </row>
    <row r="66" spans="2:3">
      <c r="B66" s="4" t="s">
        <v>97</v>
      </c>
      <c r="C66" s="2">
        <v>21.7</v>
      </c>
    </row>
    <row r="67" spans="2:3">
      <c r="B67" s="4" t="s">
        <v>136</v>
      </c>
      <c r="C67" s="2">
        <v>21.5</v>
      </c>
    </row>
    <row r="68" spans="2:3">
      <c r="B68" s="4" t="s">
        <v>70</v>
      </c>
      <c r="C68" s="2">
        <v>21.1</v>
      </c>
    </row>
    <row r="69" spans="2:3">
      <c r="B69" s="4" t="s">
        <v>100</v>
      </c>
      <c r="C69" s="2">
        <v>21.1</v>
      </c>
    </row>
    <row r="70" spans="2:3">
      <c r="B70" s="4" t="s">
        <v>91</v>
      </c>
      <c r="C70" s="2">
        <v>19.899999999999999</v>
      </c>
    </row>
    <row r="71" spans="2:3">
      <c r="B71" s="4" t="s">
        <v>201</v>
      </c>
      <c r="C71" s="2">
        <v>19.8</v>
      </c>
    </row>
    <row r="72" spans="2:3">
      <c r="B72" s="4" t="s">
        <v>63</v>
      </c>
      <c r="C72" s="2">
        <v>19.3</v>
      </c>
    </row>
    <row r="73" spans="2:3">
      <c r="B73" s="4" t="s">
        <v>133</v>
      </c>
      <c r="C73" s="2">
        <v>17.899999999999999</v>
      </c>
    </row>
    <row r="74" spans="2:3">
      <c r="B74" s="4" t="s">
        <v>80</v>
      </c>
      <c r="C74" s="2">
        <v>12.5</v>
      </c>
    </row>
    <row r="75" spans="2:3">
      <c r="B75" s="4" t="s">
        <v>67</v>
      </c>
      <c r="C75" s="2">
        <v>12.3</v>
      </c>
    </row>
    <row r="76" spans="2:3">
      <c r="B76" s="4" t="s">
        <v>196</v>
      </c>
      <c r="C76" s="2">
        <v>7.3</v>
      </c>
    </row>
    <row r="77" spans="2:3">
      <c r="B77" s="4" t="s">
        <v>298</v>
      </c>
      <c r="C77" s="2">
        <v>809.3</v>
      </c>
    </row>
  </sheetData>
  <pageMargins left="0.7" right="0.7" top="0.75" bottom="0.75" header="0.3" footer="0.3"/>
  <pageSetup orientation="portrait" r:id="rId4"/>
  <drawing r:id="rId5"/>
  <extLst>
    <ext xmlns:x14="http://schemas.microsoft.com/office/spreadsheetml/2009/9/main" uri="{A8765BA9-456A-4dab-B4F3-ACF838C121DE}">
      <x14:slicerList>
        <x14:slicer r:id="rId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94475-6EDF-4056-A381-9846AF85CE5D}">
  <dimension ref="A1:P201"/>
  <sheetViews>
    <sheetView workbookViewId="0">
      <selection activeCell="L6" sqref="L6"/>
    </sheetView>
  </sheetViews>
  <sheetFormatPr defaultRowHeight="14.4"/>
  <cols>
    <col min="1" max="1" width="10.21875" customWidth="1"/>
    <col min="2" max="2" width="14.44140625" customWidth="1"/>
    <col min="3" max="3" width="14.109375" customWidth="1"/>
    <col min="4" max="4" width="14.77734375" customWidth="1"/>
    <col min="5" max="5" width="16.88671875" customWidth="1"/>
    <col min="6" max="6" width="12.109375" customWidth="1"/>
    <col min="7" max="7" width="14.33203125" customWidth="1"/>
    <col min="8" max="8" width="14.6640625" customWidth="1"/>
    <col min="9" max="9" width="22" customWidth="1"/>
    <col min="10" max="10" width="18.33203125" customWidth="1"/>
    <col min="11" max="11" width="18.5546875" customWidth="1"/>
    <col min="12" max="12" width="23.77734375" customWidth="1"/>
    <col min="13" max="13" width="19.44140625" customWidth="1"/>
    <col min="14" max="14" width="15.33203125" customWidth="1"/>
    <col min="15" max="15" width="20" customWidth="1"/>
    <col min="16" max="16" width="18.77734375" customWidth="1"/>
  </cols>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v>1</v>
      </c>
      <c r="B2" t="s">
        <v>16</v>
      </c>
      <c r="C2" t="s">
        <v>17</v>
      </c>
      <c r="D2" t="s">
        <v>18</v>
      </c>
      <c r="E2" t="s">
        <v>19</v>
      </c>
      <c r="F2" t="s">
        <v>20</v>
      </c>
      <c r="G2">
        <v>144000</v>
      </c>
      <c r="H2" t="s">
        <v>21</v>
      </c>
      <c r="I2">
        <v>7.7</v>
      </c>
      <c r="J2" t="s">
        <v>22</v>
      </c>
      <c r="K2">
        <v>3.2</v>
      </c>
      <c r="L2" t="s">
        <v>23</v>
      </c>
      <c r="M2">
        <v>45593</v>
      </c>
      <c r="N2">
        <v>37</v>
      </c>
      <c r="O2" t="s">
        <v>24</v>
      </c>
      <c r="P2">
        <v>-2.6</v>
      </c>
    </row>
    <row r="3" spans="1:16">
      <c r="A3">
        <v>2</v>
      </c>
      <c r="B3" t="s">
        <v>25</v>
      </c>
      <c r="C3" t="s">
        <v>26</v>
      </c>
      <c r="D3" t="s">
        <v>27</v>
      </c>
      <c r="E3" t="s">
        <v>28</v>
      </c>
      <c r="F3" t="s">
        <v>20</v>
      </c>
      <c r="G3">
        <v>174000</v>
      </c>
      <c r="H3" t="s">
        <v>29</v>
      </c>
      <c r="I3">
        <v>4.3</v>
      </c>
      <c r="J3" t="s">
        <v>30</v>
      </c>
      <c r="K3">
        <v>3.8</v>
      </c>
      <c r="L3" t="s">
        <v>31</v>
      </c>
      <c r="M3">
        <v>45526</v>
      </c>
      <c r="N3">
        <v>10</v>
      </c>
      <c r="O3" t="s">
        <v>32</v>
      </c>
      <c r="P3">
        <v>3.7</v>
      </c>
    </row>
    <row r="4" spans="1:16">
      <c r="A4">
        <v>3</v>
      </c>
      <c r="B4" t="s">
        <v>33</v>
      </c>
      <c r="C4" t="s">
        <v>34</v>
      </c>
      <c r="D4" t="s">
        <v>35</v>
      </c>
      <c r="E4" t="s">
        <v>36</v>
      </c>
      <c r="F4" t="s">
        <v>37</v>
      </c>
      <c r="G4">
        <v>114000</v>
      </c>
      <c r="H4" t="s">
        <v>21</v>
      </c>
      <c r="I4">
        <v>1.9</v>
      </c>
      <c r="J4" t="s">
        <v>30</v>
      </c>
      <c r="K4">
        <v>4.0999999999999996</v>
      </c>
      <c r="L4" t="s">
        <v>38</v>
      </c>
      <c r="M4">
        <v>45834</v>
      </c>
      <c r="N4">
        <v>9</v>
      </c>
      <c r="O4" t="s">
        <v>39</v>
      </c>
      <c r="P4">
        <v>54.5</v>
      </c>
    </row>
    <row r="5" spans="1:16">
      <c r="A5">
        <v>4</v>
      </c>
      <c r="B5" t="s">
        <v>40</v>
      </c>
      <c r="C5" t="s">
        <v>41</v>
      </c>
      <c r="D5" t="s">
        <v>42</v>
      </c>
      <c r="E5" t="s">
        <v>28</v>
      </c>
      <c r="F5" t="s">
        <v>43</v>
      </c>
      <c r="G5">
        <v>149000</v>
      </c>
      <c r="H5" t="s">
        <v>44</v>
      </c>
      <c r="I5">
        <v>3.4</v>
      </c>
      <c r="J5" t="s">
        <v>22</v>
      </c>
      <c r="K5">
        <v>3.3</v>
      </c>
      <c r="L5" t="s">
        <v>45</v>
      </c>
      <c r="M5">
        <v>45823</v>
      </c>
      <c r="N5">
        <v>46</v>
      </c>
      <c r="O5" t="s">
        <v>39</v>
      </c>
      <c r="P5">
        <v>49.8</v>
      </c>
    </row>
    <row r="6" spans="1:16">
      <c r="A6">
        <v>5</v>
      </c>
      <c r="B6" t="s">
        <v>46</v>
      </c>
      <c r="C6" t="s">
        <v>47</v>
      </c>
      <c r="D6" t="s">
        <v>48</v>
      </c>
      <c r="E6" t="s">
        <v>28</v>
      </c>
      <c r="F6" t="s">
        <v>20</v>
      </c>
      <c r="G6">
        <v>116000</v>
      </c>
      <c r="H6" t="s">
        <v>49</v>
      </c>
      <c r="I6">
        <v>4.0999999999999996</v>
      </c>
      <c r="J6" t="s">
        <v>22</v>
      </c>
      <c r="K6">
        <v>4.5999999999999996</v>
      </c>
      <c r="L6" t="s">
        <v>50</v>
      </c>
      <c r="M6">
        <v>45635</v>
      </c>
      <c r="N6">
        <v>30</v>
      </c>
      <c r="O6" t="s">
        <v>51</v>
      </c>
      <c r="P6">
        <v>1</v>
      </c>
    </row>
    <row r="7" spans="1:16">
      <c r="A7">
        <v>6</v>
      </c>
      <c r="B7" t="s">
        <v>52</v>
      </c>
      <c r="C7" t="s">
        <v>53</v>
      </c>
      <c r="D7" t="s">
        <v>54</v>
      </c>
      <c r="E7" t="s">
        <v>28</v>
      </c>
      <c r="F7" t="s">
        <v>20</v>
      </c>
      <c r="G7">
        <v>119000</v>
      </c>
      <c r="H7" t="s">
        <v>55</v>
      </c>
      <c r="I7">
        <v>2.4</v>
      </c>
      <c r="J7" t="s">
        <v>30</v>
      </c>
      <c r="K7">
        <v>4.5</v>
      </c>
      <c r="L7" t="s">
        <v>56</v>
      </c>
      <c r="M7">
        <v>45678</v>
      </c>
      <c r="N7">
        <v>28</v>
      </c>
      <c r="O7" t="s">
        <v>57</v>
      </c>
      <c r="P7">
        <v>84.8</v>
      </c>
    </row>
    <row r="8" spans="1:16">
      <c r="A8">
        <v>7</v>
      </c>
      <c r="B8" t="s">
        <v>46</v>
      </c>
      <c r="C8" t="s">
        <v>58</v>
      </c>
      <c r="D8" t="s">
        <v>59</v>
      </c>
      <c r="E8" t="s">
        <v>36</v>
      </c>
      <c r="F8" t="s">
        <v>37</v>
      </c>
      <c r="G8">
        <v>85000</v>
      </c>
      <c r="H8" t="s">
        <v>60</v>
      </c>
      <c r="I8">
        <v>1.3</v>
      </c>
      <c r="J8" t="s">
        <v>61</v>
      </c>
      <c r="K8">
        <v>3.8</v>
      </c>
      <c r="L8" t="s">
        <v>62</v>
      </c>
      <c r="M8">
        <v>45713</v>
      </c>
      <c r="N8">
        <v>38</v>
      </c>
      <c r="O8" t="s">
        <v>51</v>
      </c>
      <c r="P8">
        <v>82.4</v>
      </c>
    </row>
    <row r="9" spans="1:16">
      <c r="A9">
        <v>8</v>
      </c>
      <c r="B9" t="s">
        <v>33</v>
      </c>
      <c r="C9" t="s">
        <v>63</v>
      </c>
      <c r="D9" t="s">
        <v>42</v>
      </c>
      <c r="E9" t="s">
        <v>64</v>
      </c>
      <c r="F9" t="s">
        <v>37</v>
      </c>
      <c r="G9">
        <v>217000</v>
      </c>
      <c r="H9" t="s">
        <v>30</v>
      </c>
      <c r="I9">
        <v>10.9</v>
      </c>
      <c r="J9" t="s">
        <v>30</v>
      </c>
      <c r="K9">
        <v>3.9</v>
      </c>
      <c r="L9" t="s">
        <v>65</v>
      </c>
      <c r="M9">
        <v>45733</v>
      </c>
      <c r="N9">
        <v>63</v>
      </c>
      <c r="O9" t="s">
        <v>39</v>
      </c>
      <c r="P9">
        <v>73.3</v>
      </c>
    </row>
    <row r="10" spans="1:16">
      <c r="A10">
        <v>9</v>
      </c>
      <c r="B10" t="s">
        <v>66</v>
      </c>
      <c r="C10" t="s">
        <v>67</v>
      </c>
      <c r="D10" t="s">
        <v>48</v>
      </c>
      <c r="E10" t="s">
        <v>28</v>
      </c>
      <c r="F10" t="s">
        <v>20</v>
      </c>
      <c r="G10">
        <v>128000</v>
      </c>
      <c r="H10" t="s">
        <v>29</v>
      </c>
      <c r="I10">
        <v>3.8</v>
      </c>
      <c r="J10" t="s">
        <v>30</v>
      </c>
      <c r="K10">
        <v>3.2</v>
      </c>
      <c r="L10" t="s">
        <v>68</v>
      </c>
      <c r="M10">
        <v>45596</v>
      </c>
      <c r="N10">
        <v>8</v>
      </c>
      <c r="O10" t="s">
        <v>57</v>
      </c>
      <c r="P10">
        <v>74</v>
      </c>
    </row>
    <row r="11" spans="1:16">
      <c r="A11">
        <v>10</v>
      </c>
      <c r="B11" t="s">
        <v>69</v>
      </c>
      <c r="C11" t="s">
        <v>70</v>
      </c>
      <c r="D11" t="s">
        <v>59</v>
      </c>
      <c r="E11" t="s">
        <v>36</v>
      </c>
      <c r="F11" t="s">
        <v>71</v>
      </c>
      <c r="G11">
        <v>125000</v>
      </c>
      <c r="H11" t="s">
        <v>60</v>
      </c>
      <c r="I11">
        <v>0.3</v>
      </c>
      <c r="J11" t="s">
        <v>22</v>
      </c>
      <c r="K11">
        <v>4.0999999999999996</v>
      </c>
      <c r="L11" t="s">
        <v>72</v>
      </c>
      <c r="M11">
        <v>45582</v>
      </c>
      <c r="N11">
        <v>64</v>
      </c>
      <c r="O11" t="s">
        <v>24</v>
      </c>
      <c r="P11">
        <v>63</v>
      </c>
    </row>
    <row r="12" spans="1:16">
      <c r="A12">
        <v>11</v>
      </c>
      <c r="B12" t="s">
        <v>73</v>
      </c>
      <c r="C12" t="s">
        <v>74</v>
      </c>
      <c r="D12" t="s">
        <v>35</v>
      </c>
      <c r="E12" t="s">
        <v>75</v>
      </c>
      <c r="F12" t="s">
        <v>71</v>
      </c>
      <c r="G12">
        <v>244000</v>
      </c>
      <c r="H12" t="s">
        <v>30</v>
      </c>
      <c r="I12">
        <v>9.1999999999999993</v>
      </c>
      <c r="J12" t="s">
        <v>30</v>
      </c>
      <c r="K12">
        <v>3.2</v>
      </c>
      <c r="L12" t="s">
        <v>76</v>
      </c>
      <c r="M12">
        <v>45775</v>
      </c>
      <c r="N12">
        <v>40</v>
      </c>
      <c r="O12" t="s">
        <v>57</v>
      </c>
      <c r="P12">
        <v>48</v>
      </c>
    </row>
    <row r="13" spans="1:16">
      <c r="A13">
        <v>12</v>
      </c>
      <c r="B13" t="s">
        <v>77</v>
      </c>
      <c r="C13" t="s">
        <v>70</v>
      </c>
      <c r="D13" t="s">
        <v>18</v>
      </c>
      <c r="E13" t="s">
        <v>28</v>
      </c>
      <c r="F13" t="s">
        <v>20</v>
      </c>
      <c r="G13">
        <v>116000</v>
      </c>
      <c r="H13" t="s">
        <v>30</v>
      </c>
      <c r="I13">
        <v>2.2000000000000002</v>
      </c>
      <c r="J13" t="s">
        <v>30</v>
      </c>
      <c r="K13">
        <v>4.3</v>
      </c>
      <c r="L13" t="s">
        <v>78</v>
      </c>
      <c r="M13">
        <v>45766</v>
      </c>
      <c r="N13">
        <v>41</v>
      </c>
      <c r="O13" t="s">
        <v>32</v>
      </c>
      <c r="P13">
        <v>16.899999999999999</v>
      </c>
    </row>
    <row r="14" spans="1:16">
      <c r="A14">
        <v>13</v>
      </c>
      <c r="B14" t="s">
        <v>79</v>
      </c>
      <c r="C14" t="s">
        <v>80</v>
      </c>
      <c r="D14" t="s">
        <v>27</v>
      </c>
      <c r="E14" t="s">
        <v>28</v>
      </c>
      <c r="F14" t="s">
        <v>20</v>
      </c>
      <c r="G14">
        <v>161000</v>
      </c>
      <c r="H14" t="s">
        <v>30</v>
      </c>
      <c r="I14">
        <v>3.3</v>
      </c>
      <c r="J14" t="s">
        <v>30</v>
      </c>
      <c r="K14">
        <v>4.5</v>
      </c>
      <c r="L14" t="s">
        <v>81</v>
      </c>
      <c r="M14">
        <v>45647</v>
      </c>
      <c r="N14">
        <v>56</v>
      </c>
      <c r="O14" t="s">
        <v>39</v>
      </c>
      <c r="P14">
        <v>17.399999999999999</v>
      </c>
    </row>
    <row r="15" spans="1:16">
      <c r="A15">
        <v>14</v>
      </c>
      <c r="B15" t="s">
        <v>25</v>
      </c>
      <c r="C15" t="s">
        <v>47</v>
      </c>
      <c r="D15" t="s">
        <v>59</v>
      </c>
      <c r="E15" t="s">
        <v>28</v>
      </c>
      <c r="F15" t="s">
        <v>20</v>
      </c>
      <c r="G15">
        <v>174000</v>
      </c>
      <c r="H15" t="s">
        <v>55</v>
      </c>
      <c r="I15">
        <v>2.7</v>
      </c>
      <c r="J15" t="s">
        <v>61</v>
      </c>
      <c r="K15">
        <v>3.9</v>
      </c>
      <c r="L15" t="s">
        <v>82</v>
      </c>
      <c r="M15">
        <v>45521</v>
      </c>
      <c r="N15">
        <v>64</v>
      </c>
      <c r="O15" t="s">
        <v>57</v>
      </c>
      <c r="P15">
        <v>10</v>
      </c>
    </row>
    <row r="16" spans="1:16">
      <c r="A16">
        <v>15</v>
      </c>
      <c r="B16" t="s">
        <v>79</v>
      </c>
      <c r="C16" t="s">
        <v>83</v>
      </c>
      <c r="D16" t="s">
        <v>48</v>
      </c>
      <c r="E16" t="s">
        <v>75</v>
      </c>
      <c r="F16" t="s">
        <v>43</v>
      </c>
      <c r="G16">
        <v>190000</v>
      </c>
      <c r="H16" t="s">
        <v>84</v>
      </c>
      <c r="I16">
        <v>7</v>
      </c>
      <c r="J16" t="s">
        <v>30</v>
      </c>
      <c r="K16">
        <v>4.9000000000000004</v>
      </c>
      <c r="L16" t="s">
        <v>85</v>
      </c>
      <c r="M16">
        <v>45758</v>
      </c>
      <c r="N16">
        <v>47</v>
      </c>
      <c r="O16" t="s">
        <v>32</v>
      </c>
      <c r="P16">
        <v>8.9</v>
      </c>
    </row>
    <row r="17" spans="1:16">
      <c r="A17">
        <v>16</v>
      </c>
      <c r="B17" t="s">
        <v>66</v>
      </c>
      <c r="C17" t="s">
        <v>74</v>
      </c>
      <c r="D17" t="s">
        <v>18</v>
      </c>
      <c r="E17" t="s">
        <v>64</v>
      </c>
      <c r="F17" t="s">
        <v>37</v>
      </c>
      <c r="G17">
        <v>177000</v>
      </c>
      <c r="H17" t="s">
        <v>30</v>
      </c>
      <c r="I17">
        <v>10.5</v>
      </c>
      <c r="J17" t="s">
        <v>22</v>
      </c>
      <c r="K17">
        <v>4</v>
      </c>
      <c r="L17" t="s">
        <v>86</v>
      </c>
      <c r="M17">
        <v>45509</v>
      </c>
      <c r="N17">
        <v>43</v>
      </c>
      <c r="O17" t="s">
        <v>39</v>
      </c>
      <c r="P17">
        <v>55.8</v>
      </c>
    </row>
    <row r="18" spans="1:16">
      <c r="A18">
        <v>17</v>
      </c>
      <c r="B18" t="s">
        <v>25</v>
      </c>
      <c r="C18" t="s">
        <v>87</v>
      </c>
      <c r="D18" t="s">
        <v>42</v>
      </c>
      <c r="E18" t="s">
        <v>64</v>
      </c>
      <c r="F18" t="s">
        <v>20</v>
      </c>
      <c r="G18">
        <v>280000</v>
      </c>
      <c r="H18" t="s">
        <v>88</v>
      </c>
      <c r="I18">
        <v>15</v>
      </c>
      <c r="J18" t="s">
        <v>30</v>
      </c>
      <c r="K18">
        <v>4.2</v>
      </c>
      <c r="L18" t="s">
        <v>89</v>
      </c>
      <c r="M18">
        <v>45596</v>
      </c>
      <c r="N18">
        <v>21</v>
      </c>
      <c r="O18" t="s">
        <v>32</v>
      </c>
      <c r="P18">
        <v>6.8</v>
      </c>
    </row>
    <row r="19" spans="1:16">
      <c r="A19">
        <v>18</v>
      </c>
      <c r="B19" t="s">
        <v>16</v>
      </c>
      <c r="C19" t="s">
        <v>41</v>
      </c>
      <c r="D19" t="s">
        <v>59</v>
      </c>
      <c r="E19" t="s">
        <v>19</v>
      </c>
      <c r="F19" t="s">
        <v>43</v>
      </c>
      <c r="G19">
        <v>139000</v>
      </c>
      <c r="H19" t="s">
        <v>29</v>
      </c>
      <c r="I19">
        <v>6.8</v>
      </c>
      <c r="J19" t="s">
        <v>61</v>
      </c>
      <c r="K19">
        <v>5</v>
      </c>
      <c r="L19" t="s">
        <v>90</v>
      </c>
      <c r="M19">
        <v>45609</v>
      </c>
      <c r="N19">
        <v>13</v>
      </c>
      <c r="O19" t="s">
        <v>51</v>
      </c>
      <c r="P19">
        <v>74.3</v>
      </c>
    </row>
    <row r="20" spans="1:16">
      <c r="A20">
        <v>19</v>
      </c>
      <c r="B20" t="s">
        <v>52</v>
      </c>
      <c r="C20" t="s">
        <v>91</v>
      </c>
      <c r="D20" t="s">
        <v>54</v>
      </c>
      <c r="E20" t="s">
        <v>19</v>
      </c>
      <c r="F20" t="s">
        <v>20</v>
      </c>
      <c r="G20">
        <v>145000</v>
      </c>
      <c r="H20" t="s">
        <v>30</v>
      </c>
      <c r="I20">
        <v>7.4</v>
      </c>
      <c r="J20" t="s">
        <v>61</v>
      </c>
      <c r="K20">
        <v>4.3</v>
      </c>
      <c r="L20" t="s">
        <v>92</v>
      </c>
      <c r="M20">
        <v>45627</v>
      </c>
      <c r="N20">
        <v>64</v>
      </c>
      <c r="O20" t="s">
        <v>39</v>
      </c>
      <c r="P20">
        <v>79.5</v>
      </c>
    </row>
    <row r="21" spans="1:16">
      <c r="A21">
        <v>20</v>
      </c>
      <c r="B21" t="s">
        <v>46</v>
      </c>
      <c r="C21" t="s">
        <v>93</v>
      </c>
      <c r="D21" t="s">
        <v>42</v>
      </c>
      <c r="E21" t="s">
        <v>36</v>
      </c>
      <c r="F21" t="s">
        <v>37</v>
      </c>
      <c r="G21">
        <v>87000</v>
      </c>
      <c r="H21" t="s">
        <v>44</v>
      </c>
      <c r="I21">
        <v>0.6</v>
      </c>
      <c r="J21" t="s">
        <v>30</v>
      </c>
      <c r="K21">
        <v>3.7</v>
      </c>
      <c r="L21" t="s">
        <v>94</v>
      </c>
      <c r="M21">
        <v>45602</v>
      </c>
      <c r="N21">
        <v>62</v>
      </c>
      <c r="O21" t="s">
        <v>39</v>
      </c>
      <c r="P21">
        <v>3.3</v>
      </c>
    </row>
    <row r="22" spans="1:16">
      <c r="A22">
        <v>21</v>
      </c>
      <c r="B22" t="s">
        <v>95</v>
      </c>
      <c r="C22" t="s">
        <v>67</v>
      </c>
      <c r="D22" t="s">
        <v>35</v>
      </c>
      <c r="E22" t="s">
        <v>36</v>
      </c>
      <c r="F22" t="s">
        <v>20</v>
      </c>
      <c r="G22">
        <v>93000</v>
      </c>
      <c r="H22" t="s">
        <v>44</v>
      </c>
      <c r="I22">
        <v>0.3</v>
      </c>
      <c r="J22" t="s">
        <v>22</v>
      </c>
      <c r="K22">
        <v>4.4000000000000004</v>
      </c>
      <c r="L22" t="s">
        <v>96</v>
      </c>
      <c r="M22">
        <v>45753</v>
      </c>
      <c r="N22">
        <v>7</v>
      </c>
      <c r="O22" t="s">
        <v>51</v>
      </c>
      <c r="P22">
        <v>47.4</v>
      </c>
    </row>
    <row r="23" spans="1:16">
      <c r="A23">
        <v>22</v>
      </c>
      <c r="B23" t="s">
        <v>46</v>
      </c>
      <c r="C23" t="s">
        <v>97</v>
      </c>
      <c r="D23" t="s">
        <v>98</v>
      </c>
      <c r="E23" t="s">
        <v>36</v>
      </c>
      <c r="F23" t="s">
        <v>20</v>
      </c>
      <c r="G23">
        <v>82000</v>
      </c>
      <c r="H23" t="s">
        <v>30</v>
      </c>
      <c r="I23">
        <v>0.4</v>
      </c>
      <c r="J23" t="s">
        <v>30</v>
      </c>
      <c r="K23">
        <v>3.2</v>
      </c>
      <c r="L23" t="s">
        <v>99</v>
      </c>
      <c r="M23">
        <v>45595</v>
      </c>
      <c r="N23">
        <v>60</v>
      </c>
      <c r="O23" t="s">
        <v>57</v>
      </c>
      <c r="P23">
        <v>82.9</v>
      </c>
    </row>
    <row r="24" spans="1:16">
      <c r="A24">
        <v>23</v>
      </c>
      <c r="B24" t="s">
        <v>40</v>
      </c>
      <c r="C24" t="s">
        <v>100</v>
      </c>
      <c r="D24" t="s">
        <v>27</v>
      </c>
      <c r="E24" t="s">
        <v>36</v>
      </c>
      <c r="F24" t="s">
        <v>20</v>
      </c>
      <c r="G24">
        <v>116000</v>
      </c>
      <c r="H24" t="s">
        <v>101</v>
      </c>
      <c r="I24">
        <v>1.6</v>
      </c>
      <c r="J24" t="s">
        <v>61</v>
      </c>
      <c r="K24">
        <v>4.5999999999999996</v>
      </c>
      <c r="L24" t="s">
        <v>102</v>
      </c>
      <c r="M24">
        <v>45669</v>
      </c>
      <c r="N24">
        <v>60</v>
      </c>
      <c r="O24" t="s">
        <v>39</v>
      </c>
      <c r="P24">
        <v>72.3</v>
      </c>
    </row>
    <row r="25" spans="1:16">
      <c r="A25">
        <v>24</v>
      </c>
      <c r="B25" t="s">
        <v>25</v>
      </c>
      <c r="C25" t="s">
        <v>74</v>
      </c>
      <c r="D25" t="s">
        <v>59</v>
      </c>
      <c r="E25" t="s">
        <v>19</v>
      </c>
      <c r="F25" t="s">
        <v>20</v>
      </c>
      <c r="G25">
        <v>232000</v>
      </c>
      <c r="H25" t="s">
        <v>49</v>
      </c>
      <c r="I25">
        <v>5.9</v>
      </c>
      <c r="J25" t="s">
        <v>30</v>
      </c>
      <c r="K25">
        <v>3.8</v>
      </c>
      <c r="L25" t="s">
        <v>103</v>
      </c>
      <c r="M25">
        <v>45653</v>
      </c>
      <c r="N25">
        <v>46</v>
      </c>
      <c r="O25" t="s">
        <v>24</v>
      </c>
      <c r="P25">
        <v>31</v>
      </c>
    </row>
    <row r="26" spans="1:16">
      <c r="A26">
        <v>25</v>
      </c>
      <c r="B26" t="s">
        <v>33</v>
      </c>
      <c r="C26" t="s">
        <v>47</v>
      </c>
      <c r="D26" t="s">
        <v>54</v>
      </c>
      <c r="E26" t="s">
        <v>36</v>
      </c>
      <c r="F26" t="s">
        <v>20</v>
      </c>
      <c r="G26">
        <v>101000</v>
      </c>
      <c r="H26" t="s">
        <v>104</v>
      </c>
      <c r="I26">
        <v>1.2</v>
      </c>
      <c r="J26" t="s">
        <v>61</v>
      </c>
      <c r="K26">
        <v>3.1</v>
      </c>
      <c r="L26" t="s">
        <v>105</v>
      </c>
      <c r="M26">
        <v>45784</v>
      </c>
      <c r="N26">
        <v>37</v>
      </c>
      <c r="O26" t="s">
        <v>39</v>
      </c>
      <c r="P26">
        <v>29.7</v>
      </c>
    </row>
    <row r="27" spans="1:16">
      <c r="A27">
        <v>26</v>
      </c>
      <c r="B27" t="s">
        <v>106</v>
      </c>
      <c r="C27" t="s">
        <v>74</v>
      </c>
      <c r="D27" t="s">
        <v>35</v>
      </c>
      <c r="E27" t="s">
        <v>36</v>
      </c>
      <c r="F27" t="s">
        <v>37</v>
      </c>
      <c r="G27">
        <v>84000</v>
      </c>
      <c r="H27" t="s">
        <v>107</v>
      </c>
      <c r="I27">
        <v>0.7</v>
      </c>
      <c r="J27" t="s">
        <v>30</v>
      </c>
      <c r="K27">
        <v>4.3</v>
      </c>
      <c r="L27" t="s">
        <v>108</v>
      </c>
      <c r="M27">
        <v>45627</v>
      </c>
      <c r="N27">
        <v>37</v>
      </c>
      <c r="O27" t="s">
        <v>51</v>
      </c>
      <c r="P27">
        <v>55</v>
      </c>
    </row>
    <row r="28" spans="1:16">
      <c r="A28">
        <v>27</v>
      </c>
      <c r="B28" t="s">
        <v>109</v>
      </c>
      <c r="C28" t="s">
        <v>87</v>
      </c>
      <c r="D28" t="s">
        <v>35</v>
      </c>
      <c r="E28" t="s">
        <v>64</v>
      </c>
      <c r="F28" t="s">
        <v>20</v>
      </c>
      <c r="G28">
        <v>201000</v>
      </c>
      <c r="H28" t="s">
        <v>84</v>
      </c>
      <c r="I28">
        <v>15.4</v>
      </c>
      <c r="J28" t="s">
        <v>61</v>
      </c>
      <c r="K28">
        <v>4.2</v>
      </c>
      <c r="L28" t="s">
        <v>110</v>
      </c>
      <c r="M28">
        <v>45620</v>
      </c>
      <c r="N28">
        <v>18</v>
      </c>
      <c r="O28" t="s">
        <v>32</v>
      </c>
      <c r="P28">
        <v>65.7</v>
      </c>
    </row>
    <row r="29" spans="1:16">
      <c r="A29">
        <v>28</v>
      </c>
      <c r="B29" t="s">
        <v>106</v>
      </c>
      <c r="C29" t="s">
        <v>111</v>
      </c>
      <c r="D29" t="s">
        <v>54</v>
      </c>
      <c r="E29" t="s">
        <v>75</v>
      </c>
      <c r="F29" t="s">
        <v>20</v>
      </c>
      <c r="G29">
        <v>188000</v>
      </c>
      <c r="H29" t="s">
        <v>107</v>
      </c>
      <c r="I29">
        <v>9.6</v>
      </c>
      <c r="J29" t="s">
        <v>22</v>
      </c>
      <c r="K29">
        <v>4.9000000000000004</v>
      </c>
      <c r="L29" t="s">
        <v>112</v>
      </c>
      <c r="M29">
        <v>45813</v>
      </c>
      <c r="N29">
        <v>45</v>
      </c>
      <c r="O29" t="s">
        <v>24</v>
      </c>
      <c r="P29">
        <v>25.2</v>
      </c>
    </row>
    <row r="30" spans="1:16">
      <c r="A30">
        <v>29</v>
      </c>
      <c r="B30" t="s">
        <v>33</v>
      </c>
      <c r="C30" t="s">
        <v>113</v>
      </c>
      <c r="D30" t="s">
        <v>48</v>
      </c>
      <c r="E30" t="s">
        <v>19</v>
      </c>
      <c r="F30" t="s">
        <v>20</v>
      </c>
      <c r="G30">
        <v>141000</v>
      </c>
      <c r="H30" t="s">
        <v>60</v>
      </c>
      <c r="I30">
        <v>5.0999999999999996</v>
      </c>
      <c r="J30" t="s">
        <v>30</v>
      </c>
      <c r="K30">
        <v>4</v>
      </c>
      <c r="L30" t="s">
        <v>114</v>
      </c>
      <c r="M30">
        <v>45768</v>
      </c>
      <c r="N30">
        <v>17</v>
      </c>
      <c r="O30" t="s">
        <v>32</v>
      </c>
      <c r="P30">
        <v>39.5</v>
      </c>
    </row>
    <row r="31" spans="1:16">
      <c r="A31">
        <v>30</v>
      </c>
      <c r="B31" t="s">
        <v>25</v>
      </c>
      <c r="C31" t="s">
        <v>115</v>
      </c>
      <c r="D31" t="s">
        <v>18</v>
      </c>
      <c r="E31" t="s">
        <v>36</v>
      </c>
      <c r="F31" t="s">
        <v>37</v>
      </c>
      <c r="G31">
        <v>136000</v>
      </c>
      <c r="H31" t="s">
        <v>104</v>
      </c>
      <c r="I31">
        <v>1.6</v>
      </c>
      <c r="J31" t="s">
        <v>61</v>
      </c>
      <c r="K31">
        <v>3.9</v>
      </c>
      <c r="L31" t="s">
        <v>116</v>
      </c>
      <c r="M31">
        <v>45711</v>
      </c>
      <c r="N31">
        <v>47</v>
      </c>
      <c r="O31" t="s">
        <v>24</v>
      </c>
      <c r="P31">
        <v>83.9</v>
      </c>
    </row>
    <row r="32" spans="1:16">
      <c r="A32">
        <v>31</v>
      </c>
      <c r="B32" t="s">
        <v>106</v>
      </c>
      <c r="C32" t="s">
        <v>117</v>
      </c>
      <c r="D32" t="s">
        <v>59</v>
      </c>
      <c r="E32" t="s">
        <v>64</v>
      </c>
      <c r="F32" t="s">
        <v>37</v>
      </c>
      <c r="G32">
        <v>195000</v>
      </c>
      <c r="H32" t="s">
        <v>101</v>
      </c>
      <c r="I32">
        <v>16.600000000000001</v>
      </c>
      <c r="J32" t="s">
        <v>22</v>
      </c>
      <c r="K32">
        <v>4.8</v>
      </c>
      <c r="L32" t="s">
        <v>118</v>
      </c>
      <c r="M32">
        <v>45800</v>
      </c>
      <c r="N32">
        <v>22</v>
      </c>
      <c r="O32" t="s">
        <v>24</v>
      </c>
      <c r="P32">
        <v>38.6</v>
      </c>
    </row>
    <row r="33" spans="1:16">
      <c r="A33">
        <v>32</v>
      </c>
      <c r="B33" t="s">
        <v>25</v>
      </c>
      <c r="C33" t="s">
        <v>93</v>
      </c>
      <c r="D33" t="s">
        <v>59</v>
      </c>
      <c r="E33" t="s">
        <v>36</v>
      </c>
      <c r="F33" t="s">
        <v>37</v>
      </c>
      <c r="G33">
        <v>136000</v>
      </c>
      <c r="H33" t="s">
        <v>44</v>
      </c>
      <c r="I33">
        <v>0.7</v>
      </c>
      <c r="J33" t="s">
        <v>61</v>
      </c>
      <c r="K33">
        <v>3.2</v>
      </c>
      <c r="L33" t="s">
        <v>119</v>
      </c>
      <c r="M33">
        <v>45552</v>
      </c>
      <c r="N33">
        <v>50</v>
      </c>
      <c r="O33" t="s">
        <v>57</v>
      </c>
      <c r="P33">
        <v>0.8</v>
      </c>
    </row>
    <row r="34" spans="1:16">
      <c r="A34">
        <v>33</v>
      </c>
      <c r="B34" t="s">
        <v>95</v>
      </c>
      <c r="C34" t="s">
        <v>117</v>
      </c>
      <c r="D34" t="s">
        <v>59</v>
      </c>
      <c r="E34" t="s">
        <v>75</v>
      </c>
      <c r="F34" t="s">
        <v>20</v>
      </c>
      <c r="G34">
        <v>175000</v>
      </c>
      <c r="H34" t="s">
        <v>84</v>
      </c>
      <c r="I34">
        <v>11.5</v>
      </c>
      <c r="J34" t="s">
        <v>22</v>
      </c>
      <c r="K34">
        <v>4.4000000000000004</v>
      </c>
      <c r="L34" t="s">
        <v>120</v>
      </c>
      <c r="M34">
        <v>45673</v>
      </c>
      <c r="N34">
        <v>59</v>
      </c>
      <c r="O34" t="s">
        <v>32</v>
      </c>
      <c r="P34">
        <v>43.4</v>
      </c>
    </row>
    <row r="35" spans="1:16">
      <c r="A35">
        <v>34</v>
      </c>
      <c r="B35" t="s">
        <v>73</v>
      </c>
      <c r="C35" t="s">
        <v>47</v>
      </c>
      <c r="D35" t="s">
        <v>48</v>
      </c>
      <c r="E35" t="s">
        <v>75</v>
      </c>
      <c r="F35" t="s">
        <v>20</v>
      </c>
      <c r="G35">
        <v>228000</v>
      </c>
      <c r="H35" t="s">
        <v>121</v>
      </c>
      <c r="I35">
        <v>7.1</v>
      </c>
      <c r="J35" t="s">
        <v>30</v>
      </c>
      <c r="K35">
        <v>4.4000000000000004</v>
      </c>
      <c r="L35" t="s">
        <v>122</v>
      </c>
      <c r="M35">
        <v>45792</v>
      </c>
      <c r="N35">
        <v>39</v>
      </c>
      <c r="O35" t="s">
        <v>39</v>
      </c>
      <c r="P35">
        <v>76.599999999999994</v>
      </c>
    </row>
    <row r="36" spans="1:16">
      <c r="A36">
        <v>35</v>
      </c>
      <c r="B36" t="s">
        <v>106</v>
      </c>
      <c r="C36" t="s">
        <v>53</v>
      </c>
      <c r="D36" t="s">
        <v>18</v>
      </c>
      <c r="E36" t="s">
        <v>36</v>
      </c>
      <c r="F36" t="s">
        <v>20</v>
      </c>
      <c r="G36">
        <v>90000</v>
      </c>
      <c r="H36" t="s">
        <v>55</v>
      </c>
      <c r="I36">
        <v>0.4</v>
      </c>
      <c r="J36" t="s">
        <v>30</v>
      </c>
      <c r="K36">
        <v>3.7</v>
      </c>
      <c r="L36" t="s">
        <v>123</v>
      </c>
      <c r="M36">
        <v>45616</v>
      </c>
      <c r="N36">
        <v>53</v>
      </c>
      <c r="O36" t="s">
        <v>32</v>
      </c>
      <c r="P36">
        <v>17.7</v>
      </c>
    </row>
    <row r="37" spans="1:16">
      <c r="A37">
        <v>36</v>
      </c>
      <c r="B37" t="s">
        <v>69</v>
      </c>
      <c r="C37" t="s">
        <v>83</v>
      </c>
      <c r="D37" t="s">
        <v>18</v>
      </c>
      <c r="E37" t="s">
        <v>64</v>
      </c>
      <c r="F37" t="s">
        <v>20</v>
      </c>
      <c r="G37">
        <v>214000</v>
      </c>
      <c r="H37" t="s">
        <v>49</v>
      </c>
      <c r="I37">
        <v>15.2</v>
      </c>
      <c r="J37" t="s">
        <v>22</v>
      </c>
      <c r="K37">
        <v>4.3</v>
      </c>
      <c r="L37" t="s">
        <v>124</v>
      </c>
      <c r="M37">
        <v>45792</v>
      </c>
      <c r="N37">
        <v>14</v>
      </c>
      <c r="O37" t="s">
        <v>57</v>
      </c>
      <c r="P37">
        <v>6.4</v>
      </c>
    </row>
    <row r="38" spans="1:16">
      <c r="A38">
        <v>37</v>
      </c>
      <c r="B38" t="s">
        <v>16</v>
      </c>
      <c r="C38" t="s">
        <v>17</v>
      </c>
      <c r="D38" t="s">
        <v>48</v>
      </c>
      <c r="E38" t="s">
        <v>75</v>
      </c>
      <c r="F38" t="s">
        <v>37</v>
      </c>
      <c r="G38">
        <v>183000</v>
      </c>
      <c r="H38" t="s">
        <v>104</v>
      </c>
      <c r="I38">
        <v>10</v>
      </c>
      <c r="J38" t="s">
        <v>61</v>
      </c>
      <c r="K38">
        <v>4.4000000000000004</v>
      </c>
      <c r="L38" t="s">
        <v>125</v>
      </c>
      <c r="M38">
        <v>45487</v>
      </c>
      <c r="N38">
        <v>64</v>
      </c>
      <c r="O38" t="s">
        <v>51</v>
      </c>
      <c r="P38">
        <v>46.8</v>
      </c>
    </row>
    <row r="39" spans="1:16">
      <c r="A39">
        <v>38</v>
      </c>
      <c r="B39" t="s">
        <v>52</v>
      </c>
      <c r="C39" t="s">
        <v>87</v>
      </c>
      <c r="D39" t="s">
        <v>27</v>
      </c>
      <c r="E39" t="s">
        <v>28</v>
      </c>
      <c r="F39" t="s">
        <v>20</v>
      </c>
      <c r="G39">
        <v>132000</v>
      </c>
      <c r="H39" t="s">
        <v>49</v>
      </c>
      <c r="I39">
        <v>2.2999999999999998</v>
      </c>
      <c r="J39" t="s">
        <v>22</v>
      </c>
      <c r="K39">
        <v>4.7</v>
      </c>
      <c r="L39" t="s">
        <v>126</v>
      </c>
      <c r="M39">
        <v>45651</v>
      </c>
      <c r="N39">
        <v>39</v>
      </c>
      <c r="O39" t="s">
        <v>32</v>
      </c>
      <c r="P39">
        <v>54.5</v>
      </c>
    </row>
    <row r="40" spans="1:16">
      <c r="A40">
        <v>39</v>
      </c>
      <c r="B40" t="s">
        <v>69</v>
      </c>
      <c r="C40" t="s">
        <v>58</v>
      </c>
      <c r="D40" t="s">
        <v>54</v>
      </c>
      <c r="E40" t="s">
        <v>36</v>
      </c>
      <c r="F40" t="s">
        <v>37</v>
      </c>
      <c r="G40">
        <v>123000</v>
      </c>
      <c r="H40" t="s">
        <v>21</v>
      </c>
      <c r="I40">
        <v>0.9</v>
      </c>
      <c r="J40" t="s">
        <v>30</v>
      </c>
      <c r="K40">
        <v>4.8</v>
      </c>
      <c r="L40" t="s">
        <v>127</v>
      </c>
      <c r="M40">
        <v>45741</v>
      </c>
      <c r="N40">
        <v>46</v>
      </c>
      <c r="O40" t="s">
        <v>51</v>
      </c>
      <c r="P40">
        <v>50.4</v>
      </c>
    </row>
    <row r="41" spans="1:16">
      <c r="A41">
        <v>40</v>
      </c>
      <c r="B41" t="s">
        <v>52</v>
      </c>
      <c r="C41" t="s">
        <v>47</v>
      </c>
      <c r="D41" t="s">
        <v>59</v>
      </c>
      <c r="E41" t="s">
        <v>75</v>
      </c>
      <c r="F41" t="s">
        <v>20</v>
      </c>
      <c r="G41">
        <v>171000</v>
      </c>
      <c r="H41" t="s">
        <v>44</v>
      </c>
      <c r="I41">
        <v>8.6</v>
      </c>
      <c r="J41" t="s">
        <v>30</v>
      </c>
      <c r="K41">
        <v>4.9000000000000004</v>
      </c>
      <c r="L41" t="s">
        <v>128</v>
      </c>
      <c r="M41">
        <v>45765</v>
      </c>
      <c r="N41">
        <v>44</v>
      </c>
      <c r="O41" t="s">
        <v>32</v>
      </c>
      <c r="P41">
        <v>25.3</v>
      </c>
    </row>
    <row r="42" spans="1:16">
      <c r="A42">
        <v>41</v>
      </c>
      <c r="B42" t="s">
        <v>79</v>
      </c>
      <c r="C42" t="s">
        <v>129</v>
      </c>
      <c r="D42" t="s">
        <v>54</v>
      </c>
      <c r="E42" t="s">
        <v>28</v>
      </c>
      <c r="F42" t="s">
        <v>20</v>
      </c>
      <c r="G42">
        <v>156000</v>
      </c>
      <c r="H42" t="s">
        <v>44</v>
      </c>
      <c r="I42">
        <v>3</v>
      </c>
      <c r="J42" t="s">
        <v>22</v>
      </c>
      <c r="K42">
        <v>4.4000000000000004</v>
      </c>
      <c r="L42" t="s">
        <v>130</v>
      </c>
      <c r="M42">
        <v>45517</v>
      </c>
      <c r="N42">
        <v>20</v>
      </c>
      <c r="O42" t="s">
        <v>32</v>
      </c>
      <c r="P42">
        <v>39</v>
      </c>
    </row>
    <row r="43" spans="1:16">
      <c r="A43">
        <v>42</v>
      </c>
      <c r="B43" t="s">
        <v>40</v>
      </c>
      <c r="C43" t="s">
        <v>91</v>
      </c>
      <c r="D43" t="s">
        <v>59</v>
      </c>
      <c r="E43" t="s">
        <v>75</v>
      </c>
      <c r="F43" t="s">
        <v>20</v>
      </c>
      <c r="G43">
        <v>168000</v>
      </c>
      <c r="H43" t="s">
        <v>131</v>
      </c>
      <c r="I43">
        <v>8.5</v>
      </c>
      <c r="J43" t="s">
        <v>30</v>
      </c>
      <c r="K43">
        <v>3.5</v>
      </c>
      <c r="L43" t="s">
        <v>132</v>
      </c>
      <c r="M43">
        <v>45650</v>
      </c>
      <c r="N43">
        <v>32</v>
      </c>
      <c r="O43" t="s">
        <v>24</v>
      </c>
      <c r="P43">
        <v>24.8</v>
      </c>
    </row>
    <row r="44" spans="1:16">
      <c r="A44">
        <v>43</v>
      </c>
      <c r="B44" t="s">
        <v>73</v>
      </c>
      <c r="C44" t="s">
        <v>133</v>
      </c>
      <c r="D44" t="s">
        <v>35</v>
      </c>
      <c r="E44" t="s">
        <v>19</v>
      </c>
      <c r="F44" t="s">
        <v>20</v>
      </c>
      <c r="G44">
        <v>177000</v>
      </c>
      <c r="H44" t="s">
        <v>107</v>
      </c>
      <c r="I44">
        <v>6.3</v>
      </c>
      <c r="J44" t="s">
        <v>22</v>
      </c>
      <c r="K44">
        <v>4.9000000000000004</v>
      </c>
      <c r="L44" t="s">
        <v>134</v>
      </c>
      <c r="M44">
        <v>45615</v>
      </c>
      <c r="N44">
        <v>51</v>
      </c>
      <c r="O44" t="s">
        <v>24</v>
      </c>
      <c r="P44">
        <v>82.9</v>
      </c>
    </row>
    <row r="45" spans="1:16">
      <c r="A45">
        <v>44</v>
      </c>
      <c r="B45" t="s">
        <v>135</v>
      </c>
      <c r="C45" t="s">
        <v>136</v>
      </c>
      <c r="D45" t="s">
        <v>35</v>
      </c>
      <c r="E45" t="s">
        <v>36</v>
      </c>
      <c r="F45" t="s">
        <v>37</v>
      </c>
      <c r="G45">
        <v>83000</v>
      </c>
      <c r="H45" t="s">
        <v>49</v>
      </c>
      <c r="I45">
        <v>0.7</v>
      </c>
      <c r="J45" t="s">
        <v>30</v>
      </c>
      <c r="K45">
        <v>4.4000000000000004</v>
      </c>
      <c r="L45" t="s">
        <v>137</v>
      </c>
      <c r="M45">
        <v>45757</v>
      </c>
      <c r="N45">
        <v>23</v>
      </c>
      <c r="O45" t="s">
        <v>57</v>
      </c>
      <c r="P45">
        <v>52.4</v>
      </c>
    </row>
    <row r="46" spans="1:16">
      <c r="A46">
        <v>45</v>
      </c>
      <c r="B46" t="s">
        <v>40</v>
      </c>
      <c r="C46" t="s">
        <v>83</v>
      </c>
      <c r="D46" t="s">
        <v>42</v>
      </c>
      <c r="E46" t="s">
        <v>36</v>
      </c>
      <c r="F46" t="s">
        <v>20</v>
      </c>
      <c r="G46">
        <v>123000</v>
      </c>
      <c r="H46" t="s">
        <v>121</v>
      </c>
      <c r="I46">
        <v>0.9</v>
      </c>
      <c r="J46" t="s">
        <v>30</v>
      </c>
      <c r="K46">
        <v>3.1</v>
      </c>
      <c r="L46" t="s">
        <v>138</v>
      </c>
      <c r="M46">
        <v>45725</v>
      </c>
      <c r="N46">
        <v>9</v>
      </c>
      <c r="O46" t="s">
        <v>24</v>
      </c>
      <c r="P46">
        <v>51.7</v>
      </c>
    </row>
    <row r="47" spans="1:16">
      <c r="A47">
        <v>46</v>
      </c>
      <c r="B47" t="s">
        <v>77</v>
      </c>
      <c r="C47" t="s">
        <v>115</v>
      </c>
      <c r="D47" t="s">
        <v>98</v>
      </c>
      <c r="E47" t="s">
        <v>64</v>
      </c>
      <c r="F47" t="s">
        <v>71</v>
      </c>
      <c r="G47">
        <v>173000</v>
      </c>
      <c r="H47" t="s">
        <v>49</v>
      </c>
      <c r="I47">
        <v>10.9</v>
      </c>
      <c r="J47" t="s">
        <v>22</v>
      </c>
      <c r="K47">
        <v>4.2</v>
      </c>
      <c r="L47" t="s">
        <v>139</v>
      </c>
      <c r="M47">
        <v>45700</v>
      </c>
      <c r="N47">
        <v>24</v>
      </c>
      <c r="O47" t="s">
        <v>24</v>
      </c>
      <c r="P47">
        <v>84.1</v>
      </c>
    </row>
    <row r="48" spans="1:16">
      <c r="A48">
        <v>47</v>
      </c>
      <c r="B48" t="s">
        <v>66</v>
      </c>
      <c r="C48" t="s">
        <v>53</v>
      </c>
      <c r="D48" t="s">
        <v>18</v>
      </c>
      <c r="E48" t="s">
        <v>64</v>
      </c>
      <c r="F48" t="s">
        <v>71</v>
      </c>
      <c r="G48">
        <v>181000</v>
      </c>
      <c r="H48" t="s">
        <v>107</v>
      </c>
      <c r="I48">
        <v>15</v>
      </c>
      <c r="J48" t="s">
        <v>30</v>
      </c>
      <c r="K48">
        <v>3.2</v>
      </c>
      <c r="L48" t="s">
        <v>140</v>
      </c>
      <c r="M48">
        <v>45554</v>
      </c>
      <c r="N48">
        <v>5</v>
      </c>
      <c r="O48" t="s">
        <v>32</v>
      </c>
      <c r="P48">
        <v>35.5</v>
      </c>
    </row>
    <row r="49" spans="1:16">
      <c r="A49">
        <v>48</v>
      </c>
      <c r="B49" t="s">
        <v>106</v>
      </c>
      <c r="C49" t="s">
        <v>83</v>
      </c>
      <c r="D49" t="s">
        <v>35</v>
      </c>
      <c r="E49" t="s">
        <v>36</v>
      </c>
      <c r="F49" t="s">
        <v>20</v>
      </c>
      <c r="G49">
        <v>96000</v>
      </c>
      <c r="H49" t="s">
        <v>55</v>
      </c>
      <c r="I49">
        <v>0.1</v>
      </c>
      <c r="J49" t="s">
        <v>30</v>
      </c>
      <c r="K49">
        <v>3.5</v>
      </c>
      <c r="L49" t="s">
        <v>141</v>
      </c>
      <c r="M49">
        <v>45532</v>
      </c>
      <c r="N49">
        <v>39</v>
      </c>
      <c r="O49" t="s">
        <v>57</v>
      </c>
      <c r="P49">
        <v>53.3</v>
      </c>
    </row>
    <row r="50" spans="1:16">
      <c r="A50">
        <v>49</v>
      </c>
      <c r="B50" t="s">
        <v>52</v>
      </c>
      <c r="C50" t="s">
        <v>93</v>
      </c>
      <c r="D50" t="s">
        <v>98</v>
      </c>
      <c r="E50" t="s">
        <v>36</v>
      </c>
      <c r="F50" t="s">
        <v>20</v>
      </c>
      <c r="G50">
        <v>91000</v>
      </c>
      <c r="H50" t="s">
        <v>30</v>
      </c>
      <c r="I50">
        <v>0.9</v>
      </c>
      <c r="J50" t="s">
        <v>22</v>
      </c>
      <c r="K50">
        <v>3.6</v>
      </c>
      <c r="L50" t="s">
        <v>142</v>
      </c>
      <c r="M50">
        <v>45698</v>
      </c>
      <c r="N50">
        <v>10</v>
      </c>
      <c r="O50" t="s">
        <v>24</v>
      </c>
      <c r="P50">
        <v>-1.4</v>
      </c>
    </row>
    <row r="51" spans="1:16">
      <c r="A51">
        <v>50</v>
      </c>
      <c r="B51" t="s">
        <v>95</v>
      </c>
      <c r="C51" t="s">
        <v>143</v>
      </c>
      <c r="D51" t="s">
        <v>54</v>
      </c>
      <c r="E51" t="s">
        <v>64</v>
      </c>
      <c r="F51" t="s">
        <v>20</v>
      </c>
      <c r="G51">
        <v>167000</v>
      </c>
      <c r="H51" t="s">
        <v>49</v>
      </c>
      <c r="I51">
        <v>17.7</v>
      </c>
      <c r="J51" t="s">
        <v>61</v>
      </c>
      <c r="K51">
        <v>4.2</v>
      </c>
      <c r="L51" t="s">
        <v>144</v>
      </c>
      <c r="M51">
        <v>45769</v>
      </c>
      <c r="N51">
        <v>7</v>
      </c>
      <c r="O51" t="s">
        <v>57</v>
      </c>
      <c r="P51">
        <v>37.299999999999997</v>
      </c>
    </row>
    <row r="52" spans="1:16">
      <c r="A52">
        <v>51</v>
      </c>
      <c r="B52" t="s">
        <v>16</v>
      </c>
      <c r="C52" t="s">
        <v>133</v>
      </c>
      <c r="D52" t="s">
        <v>35</v>
      </c>
      <c r="E52" t="s">
        <v>28</v>
      </c>
      <c r="F52" t="s">
        <v>71</v>
      </c>
      <c r="G52">
        <v>143000</v>
      </c>
      <c r="H52" t="s">
        <v>121</v>
      </c>
      <c r="I52">
        <v>4.9000000000000004</v>
      </c>
      <c r="J52" t="s">
        <v>30</v>
      </c>
      <c r="K52">
        <v>3.8</v>
      </c>
      <c r="L52" t="s">
        <v>145</v>
      </c>
      <c r="M52">
        <v>45684</v>
      </c>
      <c r="N52">
        <v>49</v>
      </c>
      <c r="O52" t="s">
        <v>32</v>
      </c>
      <c r="P52">
        <v>20.9</v>
      </c>
    </row>
    <row r="53" spans="1:16">
      <c r="A53">
        <v>52</v>
      </c>
      <c r="B53" t="s">
        <v>95</v>
      </c>
      <c r="C53" t="s">
        <v>67</v>
      </c>
      <c r="D53" t="s">
        <v>18</v>
      </c>
      <c r="E53" t="s">
        <v>75</v>
      </c>
      <c r="F53" t="s">
        <v>20</v>
      </c>
      <c r="G53">
        <v>162000</v>
      </c>
      <c r="H53" t="s">
        <v>30</v>
      </c>
      <c r="I53">
        <v>7.6</v>
      </c>
      <c r="J53" t="s">
        <v>22</v>
      </c>
      <c r="K53">
        <v>4.7</v>
      </c>
      <c r="L53" t="s">
        <v>92</v>
      </c>
      <c r="M53">
        <v>45710</v>
      </c>
      <c r="N53">
        <v>31</v>
      </c>
      <c r="O53" t="s">
        <v>39</v>
      </c>
      <c r="P53">
        <v>11.9</v>
      </c>
    </row>
    <row r="54" spans="1:16">
      <c r="A54">
        <v>53</v>
      </c>
      <c r="B54" t="s">
        <v>109</v>
      </c>
      <c r="C54" t="s">
        <v>136</v>
      </c>
      <c r="D54" t="s">
        <v>59</v>
      </c>
      <c r="E54" t="s">
        <v>75</v>
      </c>
      <c r="F54" t="s">
        <v>37</v>
      </c>
      <c r="G54">
        <v>164000</v>
      </c>
      <c r="H54" t="s">
        <v>44</v>
      </c>
      <c r="I54">
        <v>9.6999999999999993</v>
      </c>
      <c r="J54" t="s">
        <v>61</v>
      </c>
      <c r="K54">
        <v>3.9</v>
      </c>
      <c r="L54" t="s">
        <v>146</v>
      </c>
      <c r="M54">
        <v>45596</v>
      </c>
      <c r="N54">
        <v>50</v>
      </c>
      <c r="O54" t="s">
        <v>57</v>
      </c>
      <c r="P54">
        <v>23</v>
      </c>
    </row>
    <row r="55" spans="1:16">
      <c r="A55">
        <v>54</v>
      </c>
      <c r="B55" t="s">
        <v>77</v>
      </c>
      <c r="C55" t="s">
        <v>47</v>
      </c>
      <c r="D55" t="s">
        <v>27</v>
      </c>
      <c r="E55" t="s">
        <v>36</v>
      </c>
      <c r="F55" t="s">
        <v>20</v>
      </c>
      <c r="G55">
        <v>96000</v>
      </c>
      <c r="H55" t="s">
        <v>55</v>
      </c>
      <c r="I55">
        <v>1.9</v>
      </c>
      <c r="J55" t="s">
        <v>22</v>
      </c>
      <c r="K55">
        <v>3.3</v>
      </c>
      <c r="L55" t="s">
        <v>147</v>
      </c>
      <c r="M55">
        <v>45721</v>
      </c>
      <c r="N55">
        <v>35</v>
      </c>
      <c r="O55" t="s">
        <v>57</v>
      </c>
      <c r="P55">
        <v>36.1</v>
      </c>
    </row>
    <row r="56" spans="1:16">
      <c r="A56">
        <v>55</v>
      </c>
      <c r="B56" t="s">
        <v>46</v>
      </c>
      <c r="C56" t="s">
        <v>87</v>
      </c>
      <c r="D56" t="s">
        <v>48</v>
      </c>
      <c r="E56" t="s">
        <v>64</v>
      </c>
      <c r="F56" t="s">
        <v>20</v>
      </c>
      <c r="G56">
        <v>158000</v>
      </c>
      <c r="H56" t="s">
        <v>131</v>
      </c>
      <c r="I56">
        <v>12.2</v>
      </c>
      <c r="J56" t="s">
        <v>22</v>
      </c>
      <c r="K56">
        <v>3.8</v>
      </c>
      <c r="L56" t="s">
        <v>148</v>
      </c>
      <c r="M56">
        <v>45774</v>
      </c>
      <c r="N56">
        <v>42</v>
      </c>
      <c r="O56" t="s">
        <v>32</v>
      </c>
      <c r="P56">
        <v>72.900000000000006</v>
      </c>
    </row>
    <row r="57" spans="1:16">
      <c r="A57">
        <v>56</v>
      </c>
      <c r="B57" t="s">
        <v>79</v>
      </c>
      <c r="C57" t="s">
        <v>47</v>
      </c>
      <c r="D57" t="s">
        <v>59</v>
      </c>
      <c r="E57" t="s">
        <v>19</v>
      </c>
      <c r="F57" t="s">
        <v>20</v>
      </c>
      <c r="G57">
        <v>190000</v>
      </c>
      <c r="H57" t="s">
        <v>84</v>
      </c>
      <c r="I57">
        <v>6.8</v>
      </c>
      <c r="J57" t="s">
        <v>30</v>
      </c>
      <c r="K57">
        <v>3.4</v>
      </c>
      <c r="L57" t="s">
        <v>149</v>
      </c>
      <c r="M57">
        <v>45496</v>
      </c>
      <c r="N57">
        <v>25</v>
      </c>
      <c r="O57" t="s">
        <v>32</v>
      </c>
      <c r="P57">
        <v>58.5</v>
      </c>
    </row>
    <row r="58" spans="1:16">
      <c r="A58">
        <v>57</v>
      </c>
      <c r="B58" t="s">
        <v>40</v>
      </c>
      <c r="C58" t="s">
        <v>87</v>
      </c>
      <c r="D58" t="s">
        <v>27</v>
      </c>
      <c r="E58" t="s">
        <v>28</v>
      </c>
      <c r="F58" t="s">
        <v>20</v>
      </c>
      <c r="G58">
        <v>129000</v>
      </c>
      <c r="H58" t="s">
        <v>60</v>
      </c>
      <c r="I58">
        <v>3.5</v>
      </c>
      <c r="J58" t="s">
        <v>30</v>
      </c>
      <c r="K58">
        <v>4.7</v>
      </c>
      <c r="L58" t="s">
        <v>150</v>
      </c>
      <c r="M58">
        <v>45547</v>
      </c>
      <c r="N58">
        <v>31</v>
      </c>
      <c r="O58" t="s">
        <v>57</v>
      </c>
      <c r="P58">
        <v>1.7</v>
      </c>
    </row>
    <row r="59" spans="1:16">
      <c r="A59">
        <v>58</v>
      </c>
      <c r="B59" t="s">
        <v>40</v>
      </c>
      <c r="C59" t="s">
        <v>93</v>
      </c>
      <c r="D59" t="s">
        <v>54</v>
      </c>
      <c r="E59" t="s">
        <v>64</v>
      </c>
      <c r="F59" t="s">
        <v>37</v>
      </c>
      <c r="G59">
        <v>240000</v>
      </c>
      <c r="H59" t="s">
        <v>131</v>
      </c>
      <c r="I59">
        <v>16.8</v>
      </c>
      <c r="J59" t="s">
        <v>61</v>
      </c>
      <c r="K59">
        <v>4.7</v>
      </c>
      <c r="L59" t="s">
        <v>151</v>
      </c>
      <c r="M59">
        <v>45751</v>
      </c>
      <c r="N59">
        <v>7</v>
      </c>
      <c r="O59" t="s">
        <v>24</v>
      </c>
      <c r="P59">
        <v>1.2</v>
      </c>
    </row>
    <row r="60" spans="1:16">
      <c r="A60">
        <v>59</v>
      </c>
      <c r="B60" t="s">
        <v>16</v>
      </c>
      <c r="C60" t="s">
        <v>152</v>
      </c>
      <c r="D60" t="s">
        <v>35</v>
      </c>
      <c r="E60" t="s">
        <v>28</v>
      </c>
      <c r="F60" t="s">
        <v>37</v>
      </c>
      <c r="G60">
        <v>143000</v>
      </c>
      <c r="H60" t="s">
        <v>21</v>
      </c>
      <c r="I60">
        <v>4.3</v>
      </c>
      <c r="J60" t="s">
        <v>22</v>
      </c>
      <c r="K60">
        <v>3.2</v>
      </c>
      <c r="L60" t="s">
        <v>153</v>
      </c>
      <c r="M60">
        <v>45497</v>
      </c>
      <c r="N60">
        <v>25</v>
      </c>
      <c r="O60" t="s">
        <v>39</v>
      </c>
      <c r="P60">
        <v>21.4</v>
      </c>
    </row>
    <row r="61" spans="1:16">
      <c r="A61">
        <v>60</v>
      </c>
      <c r="B61" t="s">
        <v>109</v>
      </c>
      <c r="C61" t="s">
        <v>97</v>
      </c>
      <c r="D61" t="s">
        <v>98</v>
      </c>
      <c r="E61" t="s">
        <v>28</v>
      </c>
      <c r="F61" t="s">
        <v>20</v>
      </c>
      <c r="G61">
        <v>147000</v>
      </c>
      <c r="H61" t="s">
        <v>104</v>
      </c>
      <c r="I61">
        <v>2.5</v>
      </c>
      <c r="J61" t="s">
        <v>30</v>
      </c>
      <c r="K61">
        <v>4.7</v>
      </c>
      <c r="L61" t="s">
        <v>154</v>
      </c>
      <c r="M61">
        <v>45592</v>
      </c>
      <c r="N61">
        <v>34</v>
      </c>
      <c r="O61" t="s">
        <v>51</v>
      </c>
      <c r="P61">
        <v>36.4</v>
      </c>
    </row>
    <row r="62" spans="1:16">
      <c r="A62">
        <v>61</v>
      </c>
      <c r="B62" t="s">
        <v>16</v>
      </c>
      <c r="C62" t="s">
        <v>63</v>
      </c>
      <c r="D62" t="s">
        <v>59</v>
      </c>
      <c r="E62" t="s">
        <v>19</v>
      </c>
      <c r="F62" t="s">
        <v>20</v>
      </c>
      <c r="G62">
        <v>145000</v>
      </c>
      <c r="H62" t="s">
        <v>131</v>
      </c>
      <c r="I62">
        <v>6.8</v>
      </c>
      <c r="J62" t="s">
        <v>30</v>
      </c>
      <c r="K62">
        <v>4.2</v>
      </c>
      <c r="L62" t="s">
        <v>155</v>
      </c>
      <c r="M62">
        <v>45575</v>
      </c>
      <c r="N62">
        <v>29</v>
      </c>
      <c r="O62" t="s">
        <v>32</v>
      </c>
      <c r="P62">
        <v>4.5999999999999996</v>
      </c>
    </row>
    <row r="63" spans="1:16">
      <c r="A63">
        <v>62</v>
      </c>
      <c r="B63" t="s">
        <v>95</v>
      </c>
      <c r="C63" t="s">
        <v>53</v>
      </c>
      <c r="D63" t="s">
        <v>54</v>
      </c>
      <c r="E63" t="s">
        <v>64</v>
      </c>
      <c r="F63" t="s">
        <v>20</v>
      </c>
      <c r="G63">
        <v>184000</v>
      </c>
      <c r="H63" t="s">
        <v>29</v>
      </c>
      <c r="I63">
        <v>17.8</v>
      </c>
      <c r="J63" t="s">
        <v>22</v>
      </c>
      <c r="K63">
        <v>3.5</v>
      </c>
      <c r="L63" t="s">
        <v>156</v>
      </c>
      <c r="M63">
        <v>45784</v>
      </c>
      <c r="N63">
        <v>52</v>
      </c>
      <c r="O63" t="s">
        <v>32</v>
      </c>
      <c r="P63">
        <v>70</v>
      </c>
    </row>
    <row r="64" spans="1:16">
      <c r="A64">
        <v>63</v>
      </c>
      <c r="B64" t="s">
        <v>52</v>
      </c>
      <c r="C64" t="s">
        <v>41</v>
      </c>
      <c r="D64" t="s">
        <v>48</v>
      </c>
      <c r="E64" t="s">
        <v>64</v>
      </c>
      <c r="F64" t="s">
        <v>37</v>
      </c>
      <c r="G64">
        <v>159000</v>
      </c>
      <c r="H64" t="s">
        <v>107</v>
      </c>
      <c r="I64">
        <v>15</v>
      </c>
      <c r="J64" t="s">
        <v>22</v>
      </c>
      <c r="K64">
        <v>4.4000000000000004</v>
      </c>
      <c r="L64" t="s">
        <v>157</v>
      </c>
      <c r="M64">
        <v>45795</v>
      </c>
      <c r="N64">
        <v>46</v>
      </c>
      <c r="O64" t="s">
        <v>39</v>
      </c>
      <c r="P64">
        <v>22.8</v>
      </c>
    </row>
    <row r="65" spans="1:16">
      <c r="A65">
        <v>64</v>
      </c>
      <c r="B65" t="s">
        <v>79</v>
      </c>
      <c r="C65" t="s">
        <v>158</v>
      </c>
      <c r="D65" t="s">
        <v>54</v>
      </c>
      <c r="E65" t="s">
        <v>28</v>
      </c>
      <c r="F65" t="s">
        <v>20</v>
      </c>
      <c r="G65">
        <v>153000</v>
      </c>
      <c r="H65" t="s">
        <v>30</v>
      </c>
      <c r="I65">
        <v>4.2</v>
      </c>
      <c r="J65" t="s">
        <v>30</v>
      </c>
      <c r="K65">
        <v>3.3</v>
      </c>
      <c r="L65" t="s">
        <v>159</v>
      </c>
      <c r="M65">
        <v>45558</v>
      </c>
      <c r="N65">
        <v>21</v>
      </c>
      <c r="O65" t="s">
        <v>32</v>
      </c>
      <c r="P65">
        <v>82.1</v>
      </c>
    </row>
    <row r="66" spans="1:16">
      <c r="A66">
        <v>65</v>
      </c>
      <c r="B66" t="s">
        <v>66</v>
      </c>
      <c r="C66" t="s">
        <v>143</v>
      </c>
      <c r="D66" t="s">
        <v>54</v>
      </c>
      <c r="E66" t="s">
        <v>36</v>
      </c>
      <c r="F66" t="s">
        <v>20</v>
      </c>
      <c r="G66">
        <v>97000</v>
      </c>
      <c r="H66" t="s">
        <v>60</v>
      </c>
      <c r="I66">
        <v>1.5</v>
      </c>
      <c r="J66" t="s">
        <v>30</v>
      </c>
      <c r="K66">
        <v>4.4000000000000004</v>
      </c>
      <c r="L66" t="s">
        <v>160</v>
      </c>
      <c r="M66">
        <v>45520</v>
      </c>
      <c r="N66">
        <v>55</v>
      </c>
      <c r="O66" t="s">
        <v>32</v>
      </c>
      <c r="P66">
        <v>-3.7</v>
      </c>
    </row>
    <row r="67" spans="1:16">
      <c r="A67">
        <v>66</v>
      </c>
      <c r="B67" t="s">
        <v>135</v>
      </c>
      <c r="C67" t="s">
        <v>17</v>
      </c>
      <c r="D67" t="s">
        <v>59</v>
      </c>
      <c r="E67" t="s">
        <v>19</v>
      </c>
      <c r="F67" t="s">
        <v>20</v>
      </c>
      <c r="G67">
        <v>117000</v>
      </c>
      <c r="H67" t="s">
        <v>84</v>
      </c>
      <c r="I67">
        <v>8.3000000000000007</v>
      </c>
      <c r="J67" t="s">
        <v>22</v>
      </c>
      <c r="K67">
        <v>3.2</v>
      </c>
      <c r="L67" t="s">
        <v>161</v>
      </c>
      <c r="M67">
        <v>45761</v>
      </c>
      <c r="N67">
        <v>25</v>
      </c>
      <c r="O67" t="s">
        <v>24</v>
      </c>
      <c r="P67">
        <v>14.9</v>
      </c>
    </row>
    <row r="68" spans="1:16">
      <c r="A68">
        <v>67</v>
      </c>
      <c r="B68" t="s">
        <v>69</v>
      </c>
      <c r="C68" t="s">
        <v>111</v>
      </c>
      <c r="D68" t="s">
        <v>59</v>
      </c>
      <c r="E68" t="s">
        <v>19</v>
      </c>
      <c r="F68" t="s">
        <v>20</v>
      </c>
      <c r="G68">
        <v>152000</v>
      </c>
      <c r="H68" t="s">
        <v>60</v>
      </c>
      <c r="I68">
        <v>5.2</v>
      </c>
      <c r="J68" t="s">
        <v>30</v>
      </c>
      <c r="K68">
        <v>5</v>
      </c>
      <c r="L68" t="s">
        <v>162</v>
      </c>
      <c r="M68">
        <v>45543</v>
      </c>
      <c r="N68">
        <v>29</v>
      </c>
      <c r="O68" t="s">
        <v>32</v>
      </c>
      <c r="P68">
        <v>28.4</v>
      </c>
    </row>
    <row r="69" spans="1:16">
      <c r="A69">
        <v>68</v>
      </c>
      <c r="B69" t="s">
        <v>73</v>
      </c>
      <c r="C69" t="s">
        <v>26</v>
      </c>
      <c r="D69" t="s">
        <v>27</v>
      </c>
      <c r="E69" t="s">
        <v>64</v>
      </c>
      <c r="F69" t="s">
        <v>37</v>
      </c>
      <c r="G69">
        <v>230000</v>
      </c>
      <c r="H69" t="s">
        <v>101</v>
      </c>
      <c r="I69">
        <v>15.2</v>
      </c>
      <c r="J69" t="s">
        <v>61</v>
      </c>
      <c r="K69">
        <v>4.2</v>
      </c>
      <c r="L69" t="s">
        <v>163</v>
      </c>
      <c r="M69">
        <v>45701</v>
      </c>
      <c r="N69">
        <v>33</v>
      </c>
      <c r="O69" t="s">
        <v>57</v>
      </c>
      <c r="P69">
        <v>72</v>
      </c>
    </row>
    <row r="70" spans="1:16">
      <c r="A70">
        <v>69</v>
      </c>
      <c r="B70" t="s">
        <v>69</v>
      </c>
      <c r="C70" t="s">
        <v>152</v>
      </c>
      <c r="D70" t="s">
        <v>54</v>
      </c>
      <c r="E70" t="s">
        <v>64</v>
      </c>
      <c r="F70" t="s">
        <v>43</v>
      </c>
      <c r="G70">
        <v>239000</v>
      </c>
      <c r="H70" t="s">
        <v>30</v>
      </c>
      <c r="I70">
        <v>10.5</v>
      </c>
      <c r="J70" t="s">
        <v>30</v>
      </c>
      <c r="K70">
        <v>4.9000000000000004</v>
      </c>
      <c r="L70" t="s">
        <v>164</v>
      </c>
      <c r="M70">
        <v>45801</v>
      </c>
      <c r="N70">
        <v>43</v>
      </c>
      <c r="O70" t="s">
        <v>39</v>
      </c>
      <c r="P70">
        <v>-0.4</v>
      </c>
    </row>
    <row r="71" spans="1:16">
      <c r="A71">
        <v>70</v>
      </c>
      <c r="B71" t="s">
        <v>109</v>
      </c>
      <c r="C71" t="s">
        <v>91</v>
      </c>
      <c r="D71" t="s">
        <v>98</v>
      </c>
      <c r="E71" t="s">
        <v>64</v>
      </c>
      <c r="F71" t="s">
        <v>20</v>
      </c>
      <c r="G71">
        <v>212000</v>
      </c>
      <c r="H71" t="s">
        <v>107</v>
      </c>
      <c r="I71">
        <v>14.7</v>
      </c>
      <c r="J71" t="s">
        <v>61</v>
      </c>
      <c r="K71">
        <v>3.5</v>
      </c>
      <c r="L71" t="s">
        <v>165</v>
      </c>
      <c r="M71">
        <v>45615</v>
      </c>
      <c r="N71">
        <v>59</v>
      </c>
      <c r="O71" t="s">
        <v>57</v>
      </c>
      <c r="P71">
        <v>83.9</v>
      </c>
    </row>
    <row r="72" spans="1:16">
      <c r="A72">
        <v>71</v>
      </c>
      <c r="B72" t="s">
        <v>135</v>
      </c>
      <c r="C72" t="s">
        <v>93</v>
      </c>
      <c r="D72" t="s">
        <v>98</v>
      </c>
      <c r="E72" t="s">
        <v>36</v>
      </c>
      <c r="F72" t="s">
        <v>20</v>
      </c>
      <c r="G72">
        <v>71000</v>
      </c>
      <c r="H72" t="s">
        <v>60</v>
      </c>
      <c r="I72">
        <v>0</v>
      </c>
      <c r="J72" t="s">
        <v>61</v>
      </c>
      <c r="K72">
        <v>3.5</v>
      </c>
      <c r="L72" t="s">
        <v>166</v>
      </c>
      <c r="M72">
        <v>45538</v>
      </c>
      <c r="N72">
        <v>52</v>
      </c>
      <c r="O72" t="s">
        <v>32</v>
      </c>
      <c r="P72">
        <v>42.3</v>
      </c>
    </row>
    <row r="73" spans="1:16">
      <c r="A73">
        <v>72</v>
      </c>
      <c r="B73" t="s">
        <v>73</v>
      </c>
      <c r="C73" t="s">
        <v>70</v>
      </c>
      <c r="D73" t="s">
        <v>59</v>
      </c>
      <c r="E73" t="s">
        <v>75</v>
      </c>
      <c r="F73" t="s">
        <v>37</v>
      </c>
      <c r="G73">
        <v>234000</v>
      </c>
      <c r="H73" t="s">
        <v>21</v>
      </c>
      <c r="I73">
        <v>9.3000000000000007</v>
      </c>
      <c r="J73" t="s">
        <v>30</v>
      </c>
      <c r="K73">
        <v>4.2</v>
      </c>
      <c r="L73" t="s">
        <v>167</v>
      </c>
      <c r="M73">
        <v>45708</v>
      </c>
      <c r="N73">
        <v>46</v>
      </c>
      <c r="O73" t="s">
        <v>39</v>
      </c>
      <c r="P73">
        <v>0.5</v>
      </c>
    </row>
    <row r="74" spans="1:16">
      <c r="A74">
        <v>73</v>
      </c>
      <c r="B74" t="s">
        <v>79</v>
      </c>
      <c r="C74" t="s">
        <v>129</v>
      </c>
      <c r="D74" t="s">
        <v>27</v>
      </c>
      <c r="E74" t="s">
        <v>75</v>
      </c>
      <c r="F74" t="s">
        <v>37</v>
      </c>
      <c r="G74">
        <v>215000</v>
      </c>
      <c r="H74" t="s">
        <v>55</v>
      </c>
      <c r="I74">
        <v>7.4</v>
      </c>
      <c r="J74" t="s">
        <v>30</v>
      </c>
      <c r="K74">
        <v>4.2</v>
      </c>
      <c r="L74" t="s">
        <v>168</v>
      </c>
      <c r="M74">
        <v>45798</v>
      </c>
      <c r="N74">
        <v>42</v>
      </c>
      <c r="O74" t="s">
        <v>24</v>
      </c>
      <c r="P74">
        <v>59.1</v>
      </c>
    </row>
    <row r="75" spans="1:16">
      <c r="A75">
        <v>74</v>
      </c>
      <c r="B75" t="s">
        <v>95</v>
      </c>
      <c r="C75" t="s">
        <v>136</v>
      </c>
      <c r="D75" t="s">
        <v>35</v>
      </c>
      <c r="E75" t="s">
        <v>75</v>
      </c>
      <c r="F75" t="s">
        <v>20</v>
      </c>
      <c r="G75">
        <v>176000</v>
      </c>
      <c r="H75" t="s">
        <v>21</v>
      </c>
      <c r="I75">
        <v>11</v>
      </c>
      <c r="J75" t="s">
        <v>30</v>
      </c>
      <c r="K75">
        <v>4.3</v>
      </c>
      <c r="L75" t="s">
        <v>169</v>
      </c>
      <c r="M75">
        <v>45590</v>
      </c>
      <c r="N75">
        <v>31</v>
      </c>
      <c r="O75" t="s">
        <v>51</v>
      </c>
      <c r="P75">
        <v>69.5</v>
      </c>
    </row>
    <row r="76" spans="1:16">
      <c r="A76">
        <v>75</v>
      </c>
      <c r="B76" t="s">
        <v>95</v>
      </c>
      <c r="C76" t="s">
        <v>97</v>
      </c>
      <c r="D76" t="s">
        <v>42</v>
      </c>
      <c r="E76" t="s">
        <v>19</v>
      </c>
      <c r="F76" t="s">
        <v>20</v>
      </c>
      <c r="G76">
        <v>168000</v>
      </c>
      <c r="H76" t="s">
        <v>44</v>
      </c>
      <c r="I76">
        <v>6.5</v>
      </c>
      <c r="J76" t="s">
        <v>30</v>
      </c>
      <c r="K76">
        <v>4.8</v>
      </c>
      <c r="L76" t="s">
        <v>170</v>
      </c>
      <c r="M76">
        <v>45521</v>
      </c>
      <c r="N76">
        <v>32</v>
      </c>
      <c r="O76" t="s">
        <v>39</v>
      </c>
      <c r="P76">
        <v>62</v>
      </c>
    </row>
    <row r="77" spans="1:16">
      <c r="A77">
        <v>76</v>
      </c>
      <c r="B77" t="s">
        <v>109</v>
      </c>
      <c r="C77" t="s">
        <v>80</v>
      </c>
      <c r="D77" t="s">
        <v>98</v>
      </c>
      <c r="E77" t="s">
        <v>64</v>
      </c>
      <c r="F77" t="s">
        <v>20</v>
      </c>
      <c r="G77">
        <v>213000</v>
      </c>
      <c r="H77" t="s">
        <v>30</v>
      </c>
      <c r="I77">
        <v>15.4</v>
      </c>
      <c r="J77" t="s">
        <v>30</v>
      </c>
      <c r="K77">
        <v>4.7</v>
      </c>
      <c r="L77" t="s">
        <v>171</v>
      </c>
      <c r="M77">
        <v>45781</v>
      </c>
      <c r="N77">
        <v>24</v>
      </c>
      <c r="O77" t="s">
        <v>51</v>
      </c>
      <c r="P77">
        <v>4.3</v>
      </c>
    </row>
    <row r="78" spans="1:16">
      <c r="A78">
        <v>77</v>
      </c>
      <c r="B78" t="s">
        <v>135</v>
      </c>
      <c r="C78" t="s">
        <v>74</v>
      </c>
      <c r="D78" t="s">
        <v>98</v>
      </c>
      <c r="E78" t="s">
        <v>75</v>
      </c>
      <c r="F78" t="s">
        <v>20</v>
      </c>
      <c r="G78">
        <v>123000</v>
      </c>
      <c r="H78" t="s">
        <v>30</v>
      </c>
      <c r="I78">
        <v>11.2</v>
      </c>
      <c r="J78" t="s">
        <v>30</v>
      </c>
      <c r="K78">
        <v>4.5</v>
      </c>
      <c r="L78" t="s">
        <v>172</v>
      </c>
      <c r="M78">
        <v>45788</v>
      </c>
      <c r="N78">
        <v>48</v>
      </c>
      <c r="O78" t="s">
        <v>24</v>
      </c>
      <c r="P78">
        <v>-2.6</v>
      </c>
    </row>
    <row r="79" spans="1:16">
      <c r="A79">
        <v>78</v>
      </c>
      <c r="B79" t="s">
        <v>52</v>
      </c>
      <c r="C79" t="s">
        <v>152</v>
      </c>
      <c r="D79" t="s">
        <v>35</v>
      </c>
      <c r="E79" t="s">
        <v>36</v>
      </c>
      <c r="F79" t="s">
        <v>20</v>
      </c>
      <c r="G79">
        <v>91000</v>
      </c>
      <c r="H79" t="s">
        <v>30</v>
      </c>
      <c r="I79">
        <v>0.7</v>
      </c>
      <c r="J79" t="s">
        <v>30</v>
      </c>
      <c r="K79">
        <v>3.3</v>
      </c>
      <c r="L79" t="s">
        <v>173</v>
      </c>
      <c r="M79">
        <v>45489</v>
      </c>
      <c r="N79">
        <v>10</v>
      </c>
      <c r="O79" t="s">
        <v>24</v>
      </c>
      <c r="P79">
        <v>14.4</v>
      </c>
    </row>
    <row r="80" spans="1:16">
      <c r="A80">
        <v>79</v>
      </c>
      <c r="B80" t="s">
        <v>95</v>
      </c>
      <c r="C80" t="s">
        <v>133</v>
      </c>
      <c r="D80" t="s">
        <v>54</v>
      </c>
      <c r="E80" t="s">
        <v>28</v>
      </c>
      <c r="F80" t="s">
        <v>20</v>
      </c>
      <c r="G80">
        <v>128000</v>
      </c>
      <c r="H80" t="s">
        <v>131</v>
      </c>
      <c r="I80">
        <v>4.7</v>
      </c>
      <c r="J80" t="s">
        <v>30</v>
      </c>
      <c r="K80">
        <v>4.5</v>
      </c>
      <c r="L80" t="s">
        <v>174</v>
      </c>
      <c r="M80">
        <v>45700</v>
      </c>
      <c r="N80">
        <v>47</v>
      </c>
      <c r="O80" t="s">
        <v>32</v>
      </c>
      <c r="P80">
        <v>38.700000000000003</v>
      </c>
    </row>
    <row r="81" spans="1:16">
      <c r="A81">
        <v>80</v>
      </c>
      <c r="B81" t="s">
        <v>79</v>
      </c>
      <c r="C81" t="s">
        <v>97</v>
      </c>
      <c r="D81" t="s">
        <v>35</v>
      </c>
      <c r="E81" t="s">
        <v>28</v>
      </c>
      <c r="F81" t="s">
        <v>37</v>
      </c>
      <c r="G81">
        <v>142000</v>
      </c>
      <c r="H81" t="s">
        <v>30</v>
      </c>
      <c r="I81">
        <v>3.3</v>
      </c>
      <c r="J81" t="s">
        <v>30</v>
      </c>
      <c r="K81">
        <v>4.4000000000000004</v>
      </c>
      <c r="L81" t="s">
        <v>175</v>
      </c>
      <c r="M81">
        <v>45586</v>
      </c>
      <c r="N81">
        <v>30</v>
      </c>
      <c r="O81" t="s">
        <v>24</v>
      </c>
      <c r="P81">
        <v>-0.1</v>
      </c>
    </row>
    <row r="82" spans="1:16">
      <c r="A82">
        <v>81</v>
      </c>
      <c r="B82" t="s">
        <v>25</v>
      </c>
      <c r="C82" t="s">
        <v>41</v>
      </c>
      <c r="D82" t="s">
        <v>48</v>
      </c>
      <c r="E82" t="s">
        <v>28</v>
      </c>
      <c r="F82" t="s">
        <v>37</v>
      </c>
      <c r="G82">
        <v>175000</v>
      </c>
      <c r="H82" t="s">
        <v>30</v>
      </c>
      <c r="I82">
        <v>2.4</v>
      </c>
      <c r="J82" t="s">
        <v>30</v>
      </c>
      <c r="K82">
        <v>3.9</v>
      </c>
      <c r="L82" t="s">
        <v>176</v>
      </c>
      <c r="M82">
        <v>45591</v>
      </c>
      <c r="N82">
        <v>37</v>
      </c>
      <c r="O82" t="s">
        <v>24</v>
      </c>
      <c r="P82">
        <v>70</v>
      </c>
    </row>
    <row r="83" spans="1:16">
      <c r="A83">
        <v>82</v>
      </c>
      <c r="B83" t="s">
        <v>40</v>
      </c>
      <c r="C83" t="s">
        <v>34</v>
      </c>
      <c r="D83" t="s">
        <v>42</v>
      </c>
      <c r="E83" t="s">
        <v>75</v>
      </c>
      <c r="F83" t="s">
        <v>43</v>
      </c>
      <c r="G83">
        <v>169000</v>
      </c>
      <c r="H83" t="s">
        <v>101</v>
      </c>
      <c r="I83">
        <v>7.1</v>
      </c>
      <c r="J83" t="s">
        <v>61</v>
      </c>
      <c r="K83">
        <v>4.7</v>
      </c>
      <c r="L83" t="s">
        <v>177</v>
      </c>
      <c r="M83">
        <v>45687</v>
      </c>
      <c r="N83">
        <v>23</v>
      </c>
      <c r="O83" t="s">
        <v>39</v>
      </c>
      <c r="P83">
        <v>31.5</v>
      </c>
    </row>
    <row r="84" spans="1:16">
      <c r="A84">
        <v>83</v>
      </c>
      <c r="B84" t="s">
        <v>109</v>
      </c>
      <c r="C84" t="s">
        <v>100</v>
      </c>
      <c r="D84" t="s">
        <v>59</v>
      </c>
      <c r="E84" t="s">
        <v>19</v>
      </c>
      <c r="F84" t="s">
        <v>20</v>
      </c>
      <c r="G84">
        <v>136000</v>
      </c>
      <c r="H84" t="s">
        <v>49</v>
      </c>
      <c r="I84">
        <v>6.7</v>
      </c>
      <c r="J84" t="s">
        <v>30</v>
      </c>
      <c r="K84">
        <v>3.2</v>
      </c>
      <c r="L84" t="s">
        <v>178</v>
      </c>
      <c r="M84">
        <v>45560</v>
      </c>
      <c r="N84">
        <v>9</v>
      </c>
      <c r="O84" t="s">
        <v>24</v>
      </c>
      <c r="P84">
        <v>52</v>
      </c>
    </row>
    <row r="85" spans="1:16">
      <c r="A85">
        <v>84</v>
      </c>
      <c r="B85" t="s">
        <v>135</v>
      </c>
      <c r="C85" t="s">
        <v>58</v>
      </c>
      <c r="D85" t="s">
        <v>48</v>
      </c>
      <c r="E85" t="s">
        <v>19</v>
      </c>
      <c r="F85" t="s">
        <v>20</v>
      </c>
      <c r="G85">
        <v>109000</v>
      </c>
      <c r="H85" t="s">
        <v>49</v>
      </c>
      <c r="I85">
        <v>5.4</v>
      </c>
      <c r="J85" t="s">
        <v>30</v>
      </c>
      <c r="K85">
        <v>3.3</v>
      </c>
      <c r="L85" t="s">
        <v>179</v>
      </c>
      <c r="M85">
        <v>45512</v>
      </c>
      <c r="N85">
        <v>16</v>
      </c>
      <c r="O85" t="s">
        <v>32</v>
      </c>
      <c r="P85">
        <v>36.799999999999997</v>
      </c>
    </row>
    <row r="86" spans="1:16">
      <c r="A86">
        <v>85</v>
      </c>
      <c r="B86" t="s">
        <v>106</v>
      </c>
      <c r="C86" t="s">
        <v>113</v>
      </c>
      <c r="D86" t="s">
        <v>59</v>
      </c>
      <c r="E86" t="s">
        <v>64</v>
      </c>
      <c r="F86" t="s">
        <v>20</v>
      </c>
      <c r="G86">
        <v>205000</v>
      </c>
      <c r="H86" t="s">
        <v>30</v>
      </c>
      <c r="I86">
        <v>16.899999999999999</v>
      </c>
      <c r="J86" t="s">
        <v>22</v>
      </c>
      <c r="K86">
        <v>3.3</v>
      </c>
      <c r="L86" t="s">
        <v>180</v>
      </c>
      <c r="M86">
        <v>45629</v>
      </c>
      <c r="N86">
        <v>55</v>
      </c>
      <c r="O86" t="s">
        <v>51</v>
      </c>
      <c r="P86">
        <v>48.2</v>
      </c>
    </row>
    <row r="87" spans="1:16">
      <c r="A87">
        <v>86</v>
      </c>
      <c r="B87" t="s">
        <v>109</v>
      </c>
      <c r="C87" t="s">
        <v>58</v>
      </c>
      <c r="D87" t="s">
        <v>42</v>
      </c>
      <c r="E87" t="s">
        <v>19</v>
      </c>
      <c r="F87" t="s">
        <v>20</v>
      </c>
      <c r="G87">
        <v>132000</v>
      </c>
      <c r="H87" t="s">
        <v>88</v>
      </c>
      <c r="I87">
        <v>6.5</v>
      </c>
      <c r="J87" t="s">
        <v>30</v>
      </c>
      <c r="K87">
        <v>4.3</v>
      </c>
      <c r="L87" t="s">
        <v>181</v>
      </c>
      <c r="M87">
        <v>45670</v>
      </c>
      <c r="N87">
        <v>34</v>
      </c>
      <c r="O87" t="s">
        <v>24</v>
      </c>
      <c r="P87">
        <v>44.9</v>
      </c>
    </row>
    <row r="88" spans="1:16">
      <c r="A88">
        <v>87</v>
      </c>
      <c r="B88" t="s">
        <v>40</v>
      </c>
      <c r="C88" t="s">
        <v>143</v>
      </c>
      <c r="D88" t="s">
        <v>18</v>
      </c>
      <c r="E88" t="s">
        <v>75</v>
      </c>
      <c r="F88" t="s">
        <v>43</v>
      </c>
      <c r="G88">
        <v>209000</v>
      </c>
      <c r="H88" t="s">
        <v>107</v>
      </c>
      <c r="I88">
        <v>8.6</v>
      </c>
      <c r="J88" t="s">
        <v>30</v>
      </c>
      <c r="K88">
        <v>3.3</v>
      </c>
      <c r="L88" t="s">
        <v>182</v>
      </c>
      <c r="M88">
        <v>45649</v>
      </c>
      <c r="N88">
        <v>50</v>
      </c>
      <c r="O88" t="s">
        <v>39</v>
      </c>
      <c r="P88">
        <v>40.4</v>
      </c>
    </row>
    <row r="89" spans="1:16">
      <c r="A89">
        <v>88</v>
      </c>
      <c r="B89" t="s">
        <v>46</v>
      </c>
      <c r="C89" t="s">
        <v>158</v>
      </c>
      <c r="D89" t="s">
        <v>48</v>
      </c>
      <c r="E89" t="s">
        <v>75</v>
      </c>
      <c r="F89" t="s">
        <v>71</v>
      </c>
      <c r="G89">
        <v>171000</v>
      </c>
      <c r="H89" t="s">
        <v>104</v>
      </c>
      <c r="I89">
        <v>8.8000000000000007</v>
      </c>
      <c r="J89" t="s">
        <v>61</v>
      </c>
      <c r="K89">
        <v>3.8</v>
      </c>
      <c r="L89" t="s">
        <v>183</v>
      </c>
      <c r="M89">
        <v>45805</v>
      </c>
      <c r="N89">
        <v>26</v>
      </c>
      <c r="O89" t="s">
        <v>39</v>
      </c>
      <c r="P89">
        <v>24.7</v>
      </c>
    </row>
    <row r="90" spans="1:16">
      <c r="A90">
        <v>89</v>
      </c>
      <c r="B90" t="s">
        <v>135</v>
      </c>
      <c r="C90" t="s">
        <v>152</v>
      </c>
      <c r="D90" t="s">
        <v>27</v>
      </c>
      <c r="E90" t="s">
        <v>19</v>
      </c>
      <c r="F90" t="s">
        <v>20</v>
      </c>
      <c r="G90">
        <v>139000</v>
      </c>
      <c r="H90" t="s">
        <v>60</v>
      </c>
      <c r="I90">
        <v>6.3</v>
      </c>
      <c r="J90" t="s">
        <v>30</v>
      </c>
      <c r="K90">
        <v>3.3</v>
      </c>
      <c r="L90" t="s">
        <v>184</v>
      </c>
      <c r="M90">
        <v>45674</v>
      </c>
      <c r="N90">
        <v>13</v>
      </c>
      <c r="O90" t="s">
        <v>24</v>
      </c>
      <c r="P90">
        <v>58.8</v>
      </c>
    </row>
    <row r="91" spans="1:16">
      <c r="A91">
        <v>90</v>
      </c>
      <c r="B91" t="s">
        <v>69</v>
      </c>
      <c r="C91" t="s">
        <v>41</v>
      </c>
      <c r="D91" t="s">
        <v>27</v>
      </c>
      <c r="E91" t="s">
        <v>19</v>
      </c>
      <c r="F91" t="s">
        <v>37</v>
      </c>
      <c r="G91">
        <v>188000</v>
      </c>
      <c r="H91" t="s">
        <v>131</v>
      </c>
      <c r="I91">
        <v>7.6</v>
      </c>
      <c r="J91" t="s">
        <v>30</v>
      </c>
      <c r="K91">
        <v>3.7</v>
      </c>
      <c r="L91" t="s">
        <v>185</v>
      </c>
      <c r="M91">
        <v>45722</v>
      </c>
      <c r="N91">
        <v>17</v>
      </c>
      <c r="O91" t="s">
        <v>57</v>
      </c>
      <c r="P91">
        <v>85</v>
      </c>
    </row>
    <row r="92" spans="1:16">
      <c r="A92">
        <v>91</v>
      </c>
      <c r="B92" t="s">
        <v>46</v>
      </c>
      <c r="C92" t="s">
        <v>70</v>
      </c>
      <c r="D92" t="s">
        <v>35</v>
      </c>
      <c r="E92" t="s">
        <v>36</v>
      </c>
      <c r="F92" t="s">
        <v>20</v>
      </c>
      <c r="G92">
        <v>105000</v>
      </c>
      <c r="H92" t="s">
        <v>88</v>
      </c>
      <c r="I92">
        <v>1.3</v>
      </c>
      <c r="J92" t="s">
        <v>61</v>
      </c>
      <c r="K92">
        <v>4.2</v>
      </c>
      <c r="L92" t="s">
        <v>186</v>
      </c>
      <c r="M92">
        <v>45558</v>
      </c>
      <c r="N92">
        <v>51</v>
      </c>
      <c r="O92" t="s">
        <v>32</v>
      </c>
      <c r="P92">
        <v>-1.1000000000000001</v>
      </c>
    </row>
    <row r="93" spans="1:16">
      <c r="A93">
        <v>92</v>
      </c>
      <c r="B93" t="s">
        <v>109</v>
      </c>
      <c r="C93" t="s">
        <v>152</v>
      </c>
      <c r="D93" t="s">
        <v>48</v>
      </c>
      <c r="E93" t="s">
        <v>75</v>
      </c>
      <c r="F93" t="s">
        <v>20</v>
      </c>
      <c r="G93">
        <v>183000</v>
      </c>
      <c r="H93" t="s">
        <v>49</v>
      </c>
      <c r="I93">
        <v>9.6999999999999993</v>
      </c>
      <c r="J93" t="s">
        <v>30</v>
      </c>
      <c r="K93">
        <v>4.5999999999999996</v>
      </c>
      <c r="L93" t="s">
        <v>187</v>
      </c>
      <c r="M93">
        <v>45821</v>
      </c>
      <c r="N93">
        <v>65</v>
      </c>
      <c r="O93" t="s">
        <v>24</v>
      </c>
      <c r="P93">
        <v>83.6</v>
      </c>
    </row>
    <row r="94" spans="1:16">
      <c r="A94">
        <v>93</v>
      </c>
      <c r="B94" t="s">
        <v>79</v>
      </c>
      <c r="C94" t="s">
        <v>113</v>
      </c>
      <c r="D94" t="s">
        <v>35</v>
      </c>
      <c r="E94" t="s">
        <v>75</v>
      </c>
      <c r="F94" t="s">
        <v>20</v>
      </c>
      <c r="G94">
        <v>209000</v>
      </c>
      <c r="H94" t="s">
        <v>104</v>
      </c>
      <c r="I94">
        <v>11.1</v>
      </c>
      <c r="J94" t="s">
        <v>22</v>
      </c>
      <c r="K94">
        <v>3.3</v>
      </c>
      <c r="L94" t="s">
        <v>188</v>
      </c>
      <c r="M94">
        <v>45757</v>
      </c>
      <c r="N94">
        <v>64</v>
      </c>
      <c r="O94" t="s">
        <v>39</v>
      </c>
      <c r="P94">
        <v>59</v>
      </c>
    </row>
    <row r="95" spans="1:16">
      <c r="A95">
        <v>94</v>
      </c>
      <c r="B95" t="s">
        <v>135</v>
      </c>
      <c r="C95" t="s">
        <v>129</v>
      </c>
      <c r="D95" t="s">
        <v>42</v>
      </c>
      <c r="E95" t="s">
        <v>19</v>
      </c>
      <c r="F95" t="s">
        <v>20</v>
      </c>
      <c r="G95">
        <v>110000</v>
      </c>
      <c r="H95" t="s">
        <v>44</v>
      </c>
      <c r="I95">
        <v>6.8</v>
      </c>
      <c r="J95" t="s">
        <v>30</v>
      </c>
      <c r="K95">
        <v>4.7</v>
      </c>
      <c r="L95" t="s">
        <v>189</v>
      </c>
      <c r="M95">
        <v>45652</v>
      </c>
      <c r="N95">
        <v>64</v>
      </c>
      <c r="O95" t="s">
        <v>39</v>
      </c>
      <c r="P95">
        <v>32.299999999999997</v>
      </c>
    </row>
    <row r="96" spans="1:16">
      <c r="A96">
        <v>95</v>
      </c>
      <c r="B96" t="s">
        <v>95</v>
      </c>
      <c r="C96" t="s">
        <v>58</v>
      </c>
      <c r="D96" t="s">
        <v>54</v>
      </c>
      <c r="E96" t="s">
        <v>28</v>
      </c>
      <c r="F96" t="s">
        <v>20</v>
      </c>
      <c r="G96">
        <v>114000</v>
      </c>
      <c r="H96" t="s">
        <v>30</v>
      </c>
      <c r="I96">
        <v>2.7</v>
      </c>
      <c r="J96" t="s">
        <v>30</v>
      </c>
      <c r="K96">
        <v>3.2</v>
      </c>
      <c r="L96" t="s">
        <v>190</v>
      </c>
      <c r="M96">
        <v>45493</v>
      </c>
      <c r="N96">
        <v>23</v>
      </c>
      <c r="O96" t="s">
        <v>32</v>
      </c>
      <c r="P96">
        <v>57.6</v>
      </c>
    </row>
    <row r="97" spans="1:16">
      <c r="A97">
        <v>96</v>
      </c>
      <c r="B97" t="s">
        <v>46</v>
      </c>
      <c r="C97" t="s">
        <v>113</v>
      </c>
      <c r="D97" t="s">
        <v>59</v>
      </c>
      <c r="E97" t="s">
        <v>75</v>
      </c>
      <c r="F97" t="s">
        <v>20</v>
      </c>
      <c r="G97">
        <v>138000</v>
      </c>
      <c r="H97" t="s">
        <v>29</v>
      </c>
      <c r="I97">
        <v>8.3000000000000007</v>
      </c>
      <c r="J97" t="s">
        <v>22</v>
      </c>
      <c r="K97">
        <v>4.0999999999999996</v>
      </c>
      <c r="L97" t="s">
        <v>191</v>
      </c>
      <c r="M97">
        <v>45595</v>
      </c>
      <c r="N97">
        <v>24</v>
      </c>
      <c r="O97" t="s">
        <v>39</v>
      </c>
      <c r="P97">
        <v>-0.7</v>
      </c>
    </row>
    <row r="98" spans="1:16">
      <c r="A98">
        <v>97</v>
      </c>
      <c r="B98" t="s">
        <v>95</v>
      </c>
      <c r="C98" t="s">
        <v>111</v>
      </c>
      <c r="D98" t="s">
        <v>59</v>
      </c>
      <c r="E98" t="s">
        <v>36</v>
      </c>
      <c r="F98" t="s">
        <v>20</v>
      </c>
      <c r="G98">
        <v>110000</v>
      </c>
      <c r="H98" t="s">
        <v>29</v>
      </c>
      <c r="I98">
        <v>1.3</v>
      </c>
      <c r="J98" t="s">
        <v>22</v>
      </c>
      <c r="K98">
        <v>4.4000000000000004</v>
      </c>
      <c r="L98" t="s">
        <v>192</v>
      </c>
      <c r="M98">
        <v>45597</v>
      </c>
      <c r="N98">
        <v>41</v>
      </c>
      <c r="O98" t="s">
        <v>32</v>
      </c>
      <c r="P98">
        <v>11.9</v>
      </c>
    </row>
    <row r="99" spans="1:16">
      <c r="A99">
        <v>98</v>
      </c>
      <c r="B99" t="s">
        <v>16</v>
      </c>
      <c r="C99" t="s">
        <v>70</v>
      </c>
      <c r="D99" t="s">
        <v>54</v>
      </c>
      <c r="E99" t="s">
        <v>36</v>
      </c>
      <c r="F99" t="s">
        <v>71</v>
      </c>
      <c r="G99">
        <v>119000</v>
      </c>
      <c r="H99" t="s">
        <v>29</v>
      </c>
      <c r="I99">
        <v>0.8</v>
      </c>
      <c r="J99" t="s">
        <v>22</v>
      </c>
      <c r="K99">
        <v>4.3</v>
      </c>
      <c r="L99" t="s">
        <v>193</v>
      </c>
      <c r="M99">
        <v>45508</v>
      </c>
      <c r="N99">
        <v>27</v>
      </c>
      <c r="O99" t="s">
        <v>57</v>
      </c>
      <c r="P99">
        <v>61</v>
      </c>
    </row>
    <row r="100" spans="1:16">
      <c r="A100">
        <v>99</v>
      </c>
      <c r="B100" t="s">
        <v>16</v>
      </c>
      <c r="C100" t="s">
        <v>17</v>
      </c>
      <c r="D100" t="s">
        <v>54</v>
      </c>
      <c r="E100" t="s">
        <v>28</v>
      </c>
      <c r="F100" t="s">
        <v>20</v>
      </c>
      <c r="G100">
        <v>150000</v>
      </c>
      <c r="H100" t="s">
        <v>30</v>
      </c>
      <c r="I100">
        <v>4.4000000000000004</v>
      </c>
      <c r="J100" t="s">
        <v>30</v>
      </c>
      <c r="K100">
        <v>4.5999999999999996</v>
      </c>
      <c r="L100" t="s">
        <v>194</v>
      </c>
      <c r="M100">
        <v>45543</v>
      </c>
      <c r="N100">
        <v>9</v>
      </c>
      <c r="O100" t="s">
        <v>32</v>
      </c>
      <c r="P100">
        <v>-1.7</v>
      </c>
    </row>
    <row r="101" spans="1:16">
      <c r="A101">
        <v>100</v>
      </c>
      <c r="B101" t="s">
        <v>25</v>
      </c>
      <c r="C101" t="s">
        <v>158</v>
      </c>
      <c r="D101" t="s">
        <v>48</v>
      </c>
      <c r="E101" t="s">
        <v>36</v>
      </c>
      <c r="F101" t="s">
        <v>20</v>
      </c>
      <c r="G101">
        <v>140000</v>
      </c>
      <c r="H101" t="s">
        <v>84</v>
      </c>
      <c r="I101">
        <v>2</v>
      </c>
      <c r="J101" t="s">
        <v>22</v>
      </c>
      <c r="K101">
        <v>3.5</v>
      </c>
      <c r="L101" t="s">
        <v>195</v>
      </c>
      <c r="M101">
        <v>45643</v>
      </c>
      <c r="N101">
        <v>22</v>
      </c>
      <c r="O101" t="s">
        <v>39</v>
      </c>
      <c r="P101">
        <v>66.900000000000006</v>
      </c>
    </row>
    <row r="102" spans="1:16">
      <c r="A102">
        <v>101</v>
      </c>
      <c r="B102" t="s">
        <v>95</v>
      </c>
      <c r="C102" t="s">
        <v>196</v>
      </c>
      <c r="D102" t="s">
        <v>27</v>
      </c>
      <c r="E102" t="s">
        <v>75</v>
      </c>
      <c r="F102" t="s">
        <v>43</v>
      </c>
      <c r="G102">
        <v>172000</v>
      </c>
      <c r="H102" t="s">
        <v>30</v>
      </c>
      <c r="I102">
        <v>11.9</v>
      </c>
      <c r="J102" t="s">
        <v>30</v>
      </c>
      <c r="K102">
        <v>4</v>
      </c>
      <c r="L102" t="s">
        <v>197</v>
      </c>
      <c r="M102">
        <v>45514</v>
      </c>
      <c r="N102">
        <v>32</v>
      </c>
      <c r="O102" t="s">
        <v>24</v>
      </c>
      <c r="P102">
        <v>84.6</v>
      </c>
    </row>
    <row r="103" spans="1:16">
      <c r="A103">
        <v>102</v>
      </c>
      <c r="B103" t="s">
        <v>46</v>
      </c>
      <c r="C103" t="s">
        <v>47</v>
      </c>
      <c r="D103" t="s">
        <v>35</v>
      </c>
      <c r="E103" t="s">
        <v>19</v>
      </c>
      <c r="F103" t="s">
        <v>20</v>
      </c>
      <c r="G103">
        <v>136000</v>
      </c>
      <c r="H103" t="s">
        <v>30</v>
      </c>
      <c r="I103">
        <v>6.2</v>
      </c>
      <c r="J103" t="s">
        <v>30</v>
      </c>
      <c r="K103">
        <v>3.9</v>
      </c>
      <c r="L103" t="s">
        <v>198</v>
      </c>
      <c r="M103">
        <v>45788</v>
      </c>
      <c r="N103">
        <v>32</v>
      </c>
      <c r="O103" t="s">
        <v>51</v>
      </c>
      <c r="P103">
        <v>52.6</v>
      </c>
    </row>
    <row r="104" spans="1:16">
      <c r="A104">
        <v>103</v>
      </c>
      <c r="B104" t="s">
        <v>40</v>
      </c>
      <c r="C104" t="s">
        <v>158</v>
      </c>
      <c r="D104" t="s">
        <v>42</v>
      </c>
      <c r="E104" t="s">
        <v>75</v>
      </c>
      <c r="F104" t="s">
        <v>20</v>
      </c>
      <c r="G104">
        <v>217000</v>
      </c>
      <c r="H104" t="s">
        <v>104</v>
      </c>
      <c r="I104">
        <v>11.8</v>
      </c>
      <c r="J104" t="s">
        <v>30</v>
      </c>
      <c r="K104">
        <v>4.2</v>
      </c>
      <c r="L104" t="s">
        <v>199</v>
      </c>
      <c r="M104">
        <v>45804</v>
      </c>
      <c r="N104">
        <v>28</v>
      </c>
      <c r="O104" t="s">
        <v>51</v>
      </c>
      <c r="P104">
        <v>29.5</v>
      </c>
    </row>
    <row r="105" spans="1:16">
      <c r="A105">
        <v>104</v>
      </c>
      <c r="B105" t="s">
        <v>106</v>
      </c>
      <c r="C105" t="s">
        <v>158</v>
      </c>
      <c r="D105" t="s">
        <v>98</v>
      </c>
      <c r="E105" t="s">
        <v>75</v>
      </c>
      <c r="F105" t="s">
        <v>71</v>
      </c>
      <c r="G105">
        <v>166000</v>
      </c>
      <c r="H105" t="s">
        <v>55</v>
      </c>
      <c r="I105">
        <v>10.8</v>
      </c>
      <c r="J105" t="s">
        <v>22</v>
      </c>
      <c r="K105">
        <v>4.0999999999999996</v>
      </c>
      <c r="L105" t="s">
        <v>200</v>
      </c>
      <c r="M105">
        <v>45532</v>
      </c>
      <c r="N105">
        <v>6</v>
      </c>
      <c r="O105" t="s">
        <v>57</v>
      </c>
      <c r="P105">
        <v>39.9</v>
      </c>
    </row>
    <row r="106" spans="1:16">
      <c r="A106">
        <v>105</v>
      </c>
      <c r="B106" t="s">
        <v>95</v>
      </c>
      <c r="C106" t="s">
        <v>201</v>
      </c>
      <c r="D106" t="s">
        <v>42</v>
      </c>
      <c r="E106" t="s">
        <v>19</v>
      </c>
      <c r="F106" t="s">
        <v>37</v>
      </c>
      <c r="G106">
        <v>154000</v>
      </c>
      <c r="H106" t="s">
        <v>107</v>
      </c>
      <c r="I106">
        <v>9</v>
      </c>
      <c r="J106" t="s">
        <v>30</v>
      </c>
      <c r="K106">
        <v>4.8</v>
      </c>
      <c r="L106" t="s">
        <v>202</v>
      </c>
      <c r="M106">
        <v>45705</v>
      </c>
      <c r="N106">
        <v>16</v>
      </c>
      <c r="O106" t="s">
        <v>32</v>
      </c>
      <c r="P106">
        <v>84.8</v>
      </c>
    </row>
    <row r="107" spans="1:16">
      <c r="A107">
        <v>106</v>
      </c>
      <c r="B107" t="s">
        <v>40</v>
      </c>
      <c r="C107" t="s">
        <v>152</v>
      </c>
      <c r="D107" t="s">
        <v>54</v>
      </c>
      <c r="E107" t="s">
        <v>19</v>
      </c>
      <c r="F107" t="s">
        <v>37</v>
      </c>
      <c r="G107">
        <v>181000</v>
      </c>
      <c r="H107" t="s">
        <v>30</v>
      </c>
      <c r="I107">
        <v>8.6</v>
      </c>
      <c r="J107" t="s">
        <v>22</v>
      </c>
      <c r="K107">
        <v>4.4000000000000004</v>
      </c>
      <c r="L107" t="s">
        <v>203</v>
      </c>
      <c r="M107">
        <v>45588</v>
      </c>
      <c r="N107">
        <v>12</v>
      </c>
      <c r="O107" t="s">
        <v>57</v>
      </c>
      <c r="P107">
        <v>66.3</v>
      </c>
    </row>
    <row r="108" spans="1:16">
      <c r="A108">
        <v>107</v>
      </c>
      <c r="B108" t="s">
        <v>25</v>
      </c>
      <c r="C108" t="s">
        <v>80</v>
      </c>
      <c r="D108" t="s">
        <v>59</v>
      </c>
      <c r="E108" t="s">
        <v>36</v>
      </c>
      <c r="F108" t="s">
        <v>20</v>
      </c>
      <c r="G108">
        <v>152000</v>
      </c>
      <c r="H108" t="s">
        <v>30</v>
      </c>
      <c r="I108">
        <v>0.9</v>
      </c>
      <c r="J108" t="s">
        <v>61</v>
      </c>
      <c r="K108">
        <v>3.3</v>
      </c>
      <c r="L108" t="s">
        <v>204</v>
      </c>
      <c r="M108">
        <v>45719</v>
      </c>
      <c r="N108">
        <v>38</v>
      </c>
      <c r="O108" t="s">
        <v>32</v>
      </c>
      <c r="P108">
        <v>64.2</v>
      </c>
    </row>
    <row r="109" spans="1:16">
      <c r="A109">
        <v>108</v>
      </c>
      <c r="B109" t="s">
        <v>33</v>
      </c>
      <c r="C109" t="s">
        <v>53</v>
      </c>
      <c r="D109" t="s">
        <v>42</v>
      </c>
      <c r="E109" t="s">
        <v>28</v>
      </c>
      <c r="F109" t="s">
        <v>71</v>
      </c>
      <c r="G109">
        <v>149000</v>
      </c>
      <c r="H109" t="s">
        <v>131</v>
      </c>
      <c r="I109">
        <v>3.3</v>
      </c>
      <c r="J109" t="s">
        <v>22</v>
      </c>
      <c r="K109">
        <v>3.7</v>
      </c>
      <c r="L109" t="s">
        <v>205</v>
      </c>
      <c r="M109">
        <v>45731</v>
      </c>
      <c r="N109">
        <v>63</v>
      </c>
      <c r="O109" t="s">
        <v>39</v>
      </c>
      <c r="P109">
        <v>69.8</v>
      </c>
    </row>
    <row r="110" spans="1:16">
      <c r="A110">
        <v>109</v>
      </c>
      <c r="B110" t="s">
        <v>135</v>
      </c>
      <c r="C110" t="s">
        <v>115</v>
      </c>
      <c r="D110" t="s">
        <v>35</v>
      </c>
      <c r="E110" t="s">
        <v>28</v>
      </c>
      <c r="F110" t="s">
        <v>20</v>
      </c>
      <c r="G110">
        <v>101000</v>
      </c>
      <c r="H110" t="s">
        <v>30</v>
      </c>
      <c r="I110">
        <v>4.8</v>
      </c>
      <c r="J110" t="s">
        <v>30</v>
      </c>
      <c r="K110">
        <v>3.6</v>
      </c>
      <c r="L110" t="s">
        <v>206</v>
      </c>
      <c r="M110">
        <v>45756</v>
      </c>
      <c r="N110">
        <v>22</v>
      </c>
      <c r="O110" t="s">
        <v>57</v>
      </c>
      <c r="P110">
        <v>51.3</v>
      </c>
    </row>
    <row r="111" spans="1:16">
      <c r="A111">
        <v>110</v>
      </c>
      <c r="B111" t="s">
        <v>106</v>
      </c>
      <c r="C111" t="s">
        <v>47</v>
      </c>
      <c r="D111" t="s">
        <v>42</v>
      </c>
      <c r="E111" t="s">
        <v>64</v>
      </c>
      <c r="F111" t="s">
        <v>20</v>
      </c>
      <c r="G111">
        <v>203000</v>
      </c>
      <c r="H111" t="s">
        <v>60</v>
      </c>
      <c r="I111">
        <v>11.4</v>
      </c>
      <c r="J111" t="s">
        <v>22</v>
      </c>
      <c r="K111">
        <v>4.8</v>
      </c>
      <c r="L111" t="s">
        <v>207</v>
      </c>
      <c r="M111">
        <v>45515</v>
      </c>
      <c r="N111">
        <v>7</v>
      </c>
      <c r="O111" t="s">
        <v>24</v>
      </c>
      <c r="P111">
        <v>18.8</v>
      </c>
    </row>
    <row r="112" spans="1:16">
      <c r="A112">
        <v>111</v>
      </c>
      <c r="B112" t="s">
        <v>25</v>
      </c>
      <c r="C112" t="s">
        <v>113</v>
      </c>
      <c r="D112" t="s">
        <v>27</v>
      </c>
      <c r="E112" t="s">
        <v>64</v>
      </c>
      <c r="F112" t="s">
        <v>20</v>
      </c>
      <c r="G112">
        <v>272000</v>
      </c>
      <c r="H112" t="s">
        <v>30</v>
      </c>
      <c r="I112">
        <v>15.1</v>
      </c>
      <c r="J112" t="s">
        <v>30</v>
      </c>
      <c r="K112">
        <v>3.5</v>
      </c>
      <c r="L112" t="s">
        <v>208</v>
      </c>
      <c r="M112">
        <v>45554</v>
      </c>
      <c r="N112">
        <v>33</v>
      </c>
      <c r="O112" t="s">
        <v>32</v>
      </c>
      <c r="P112">
        <v>38.6</v>
      </c>
    </row>
    <row r="113" spans="1:16">
      <c r="A113">
        <v>112</v>
      </c>
      <c r="B113" t="s">
        <v>25</v>
      </c>
      <c r="C113" t="s">
        <v>117</v>
      </c>
      <c r="D113" t="s">
        <v>98</v>
      </c>
      <c r="E113" t="s">
        <v>19</v>
      </c>
      <c r="F113" t="s">
        <v>43</v>
      </c>
      <c r="G113">
        <v>200000</v>
      </c>
      <c r="H113" t="s">
        <v>30</v>
      </c>
      <c r="I113">
        <v>8.9</v>
      </c>
      <c r="J113" t="s">
        <v>30</v>
      </c>
      <c r="K113">
        <v>3.7</v>
      </c>
      <c r="L113" t="s">
        <v>209</v>
      </c>
      <c r="M113">
        <v>45610</v>
      </c>
      <c r="N113">
        <v>33</v>
      </c>
      <c r="O113" t="s">
        <v>57</v>
      </c>
      <c r="P113">
        <v>7.7</v>
      </c>
    </row>
    <row r="114" spans="1:16">
      <c r="A114">
        <v>113</v>
      </c>
      <c r="B114" t="s">
        <v>77</v>
      </c>
      <c r="C114" t="s">
        <v>41</v>
      </c>
      <c r="D114" t="s">
        <v>27</v>
      </c>
      <c r="E114" t="s">
        <v>64</v>
      </c>
      <c r="F114" t="s">
        <v>20</v>
      </c>
      <c r="G114">
        <v>179000</v>
      </c>
      <c r="H114" t="s">
        <v>30</v>
      </c>
      <c r="I114">
        <v>17.5</v>
      </c>
      <c r="J114" t="s">
        <v>22</v>
      </c>
      <c r="K114">
        <v>3.4</v>
      </c>
      <c r="L114" t="s">
        <v>210</v>
      </c>
      <c r="M114">
        <v>45729</v>
      </c>
      <c r="N114">
        <v>61</v>
      </c>
      <c r="O114" t="s">
        <v>51</v>
      </c>
      <c r="P114">
        <v>39.799999999999997</v>
      </c>
    </row>
    <row r="115" spans="1:16">
      <c r="A115">
        <v>114</v>
      </c>
      <c r="B115" t="s">
        <v>69</v>
      </c>
      <c r="C115" t="s">
        <v>87</v>
      </c>
      <c r="D115" t="s">
        <v>59</v>
      </c>
      <c r="E115" t="s">
        <v>28</v>
      </c>
      <c r="F115" t="s">
        <v>20</v>
      </c>
      <c r="G115">
        <v>147000</v>
      </c>
      <c r="H115" t="s">
        <v>88</v>
      </c>
      <c r="I115">
        <v>2.2000000000000002</v>
      </c>
      <c r="J115" t="s">
        <v>30</v>
      </c>
      <c r="K115">
        <v>4.8</v>
      </c>
      <c r="L115" t="s">
        <v>211</v>
      </c>
      <c r="M115">
        <v>45529</v>
      </c>
      <c r="N115">
        <v>32</v>
      </c>
      <c r="O115" t="s">
        <v>57</v>
      </c>
      <c r="P115">
        <v>74.400000000000006</v>
      </c>
    </row>
    <row r="116" spans="1:16">
      <c r="A116">
        <v>115</v>
      </c>
      <c r="B116" t="s">
        <v>73</v>
      </c>
      <c r="C116" t="s">
        <v>34</v>
      </c>
      <c r="D116" t="s">
        <v>27</v>
      </c>
      <c r="E116" t="s">
        <v>19</v>
      </c>
      <c r="F116" t="s">
        <v>20</v>
      </c>
      <c r="G116">
        <v>173000</v>
      </c>
      <c r="H116" t="s">
        <v>107</v>
      </c>
      <c r="I116">
        <v>6.5</v>
      </c>
      <c r="J116" t="s">
        <v>30</v>
      </c>
      <c r="K116">
        <v>3.8</v>
      </c>
      <c r="L116" t="s">
        <v>212</v>
      </c>
      <c r="M116">
        <v>45822</v>
      </c>
      <c r="N116">
        <v>44</v>
      </c>
      <c r="O116" t="s">
        <v>39</v>
      </c>
      <c r="P116">
        <v>6.6</v>
      </c>
    </row>
    <row r="117" spans="1:16">
      <c r="A117">
        <v>116</v>
      </c>
      <c r="B117" t="s">
        <v>69</v>
      </c>
      <c r="C117" t="s">
        <v>87</v>
      </c>
      <c r="D117" t="s">
        <v>54</v>
      </c>
      <c r="E117" t="s">
        <v>19</v>
      </c>
      <c r="F117" t="s">
        <v>20</v>
      </c>
      <c r="G117">
        <v>168000</v>
      </c>
      <c r="H117" t="s">
        <v>60</v>
      </c>
      <c r="I117">
        <v>5.8</v>
      </c>
      <c r="J117" t="s">
        <v>30</v>
      </c>
      <c r="K117">
        <v>4</v>
      </c>
      <c r="L117" t="s">
        <v>213</v>
      </c>
      <c r="M117">
        <v>45644</v>
      </c>
      <c r="N117">
        <v>56</v>
      </c>
      <c r="O117" t="s">
        <v>32</v>
      </c>
      <c r="P117">
        <v>41.7</v>
      </c>
    </row>
    <row r="118" spans="1:16">
      <c r="A118">
        <v>117</v>
      </c>
      <c r="B118" t="s">
        <v>46</v>
      </c>
      <c r="C118" t="s">
        <v>136</v>
      </c>
      <c r="D118" t="s">
        <v>98</v>
      </c>
      <c r="E118" t="s">
        <v>19</v>
      </c>
      <c r="F118" t="s">
        <v>43</v>
      </c>
      <c r="G118">
        <v>135000</v>
      </c>
      <c r="H118" t="s">
        <v>104</v>
      </c>
      <c r="I118">
        <v>6.6</v>
      </c>
      <c r="J118" t="s">
        <v>30</v>
      </c>
      <c r="K118">
        <v>4.7</v>
      </c>
      <c r="L118" t="s">
        <v>214</v>
      </c>
      <c r="M118">
        <v>45836</v>
      </c>
      <c r="N118">
        <v>41</v>
      </c>
      <c r="O118" t="s">
        <v>51</v>
      </c>
      <c r="P118">
        <v>37.700000000000003</v>
      </c>
    </row>
    <row r="119" spans="1:16">
      <c r="A119">
        <v>118</v>
      </c>
      <c r="B119" t="s">
        <v>77</v>
      </c>
      <c r="C119" t="s">
        <v>34</v>
      </c>
      <c r="D119" t="s">
        <v>54</v>
      </c>
      <c r="E119" t="s">
        <v>36</v>
      </c>
      <c r="F119" t="s">
        <v>71</v>
      </c>
      <c r="G119">
        <v>117000</v>
      </c>
      <c r="H119" t="s">
        <v>30</v>
      </c>
      <c r="I119">
        <v>1.6</v>
      </c>
      <c r="J119" t="s">
        <v>61</v>
      </c>
      <c r="K119">
        <v>4.4000000000000004</v>
      </c>
      <c r="L119" t="s">
        <v>215</v>
      </c>
      <c r="M119">
        <v>45809</v>
      </c>
      <c r="N119">
        <v>55</v>
      </c>
      <c r="O119" t="s">
        <v>24</v>
      </c>
      <c r="P119">
        <v>47</v>
      </c>
    </row>
    <row r="120" spans="1:16">
      <c r="A120">
        <v>119</v>
      </c>
      <c r="B120" t="s">
        <v>73</v>
      </c>
      <c r="C120" t="s">
        <v>158</v>
      </c>
      <c r="D120" t="s">
        <v>59</v>
      </c>
      <c r="E120" t="s">
        <v>28</v>
      </c>
      <c r="F120" t="s">
        <v>20</v>
      </c>
      <c r="G120">
        <v>191000</v>
      </c>
      <c r="H120" t="s">
        <v>84</v>
      </c>
      <c r="I120">
        <v>2.4</v>
      </c>
      <c r="J120" t="s">
        <v>22</v>
      </c>
      <c r="K120">
        <v>3.1</v>
      </c>
      <c r="L120" t="s">
        <v>216</v>
      </c>
      <c r="M120">
        <v>45688</v>
      </c>
      <c r="N120">
        <v>14</v>
      </c>
      <c r="O120" t="s">
        <v>32</v>
      </c>
      <c r="P120">
        <v>57.1</v>
      </c>
    </row>
    <row r="121" spans="1:16">
      <c r="A121">
        <v>120</v>
      </c>
      <c r="B121" t="s">
        <v>95</v>
      </c>
      <c r="C121" t="s">
        <v>58</v>
      </c>
      <c r="D121" t="s">
        <v>59</v>
      </c>
      <c r="E121" t="s">
        <v>36</v>
      </c>
      <c r="F121" t="s">
        <v>37</v>
      </c>
      <c r="G121">
        <v>111000</v>
      </c>
      <c r="H121" t="s">
        <v>107</v>
      </c>
      <c r="I121">
        <v>1.1000000000000001</v>
      </c>
      <c r="J121" t="s">
        <v>61</v>
      </c>
      <c r="K121">
        <v>4</v>
      </c>
      <c r="L121" t="s">
        <v>217</v>
      </c>
      <c r="M121">
        <v>45649</v>
      </c>
      <c r="N121">
        <v>39</v>
      </c>
      <c r="O121" t="s">
        <v>51</v>
      </c>
      <c r="P121">
        <v>55.8</v>
      </c>
    </row>
    <row r="122" spans="1:16">
      <c r="A122">
        <v>121</v>
      </c>
      <c r="B122" t="s">
        <v>33</v>
      </c>
      <c r="C122" t="s">
        <v>143</v>
      </c>
      <c r="D122" t="s">
        <v>35</v>
      </c>
      <c r="E122" t="s">
        <v>64</v>
      </c>
      <c r="F122" t="s">
        <v>20</v>
      </c>
      <c r="G122">
        <v>184000</v>
      </c>
      <c r="H122" t="s">
        <v>44</v>
      </c>
      <c r="I122">
        <v>14.5</v>
      </c>
      <c r="J122" t="s">
        <v>30</v>
      </c>
      <c r="K122">
        <v>4.9000000000000004</v>
      </c>
      <c r="L122" t="s">
        <v>218</v>
      </c>
      <c r="M122">
        <v>45827</v>
      </c>
      <c r="N122">
        <v>50</v>
      </c>
      <c r="O122" t="s">
        <v>32</v>
      </c>
      <c r="P122">
        <v>23.5</v>
      </c>
    </row>
    <row r="123" spans="1:16">
      <c r="A123">
        <v>122</v>
      </c>
      <c r="B123" t="s">
        <v>109</v>
      </c>
      <c r="C123" t="s">
        <v>47</v>
      </c>
      <c r="D123" t="s">
        <v>35</v>
      </c>
      <c r="E123" t="s">
        <v>19</v>
      </c>
      <c r="F123" t="s">
        <v>20</v>
      </c>
      <c r="G123">
        <v>174000</v>
      </c>
      <c r="H123" t="s">
        <v>84</v>
      </c>
      <c r="I123">
        <v>8.6</v>
      </c>
      <c r="J123" t="s">
        <v>30</v>
      </c>
      <c r="K123">
        <v>3.7</v>
      </c>
      <c r="L123" t="s">
        <v>219</v>
      </c>
      <c r="M123">
        <v>45514</v>
      </c>
      <c r="N123">
        <v>27</v>
      </c>
      <c r="O123" t="s">
        <v>32</v>
      </c>
      <c r="P123">
        <v>54</v>
      </c>
    </row>
    <row r="124" spans="1:16">
      <c r="A124">
        <v>123</v>
      </c>
      <c r="B124" t="s">
        <v>73</v>
      </c>
      <c r="C124" t="s">
        <v>83</v>
      </c>
      <c r="D124" t="s">
        <v>48</v>
      </c>
      <c r="E124" t="s">
        <v>28</v>
      </c>
      <c r="F124" t="s">
        <v>37</v>
      </c>
      <c r="G124">
        <v>165000</v>
      </c>
      <c r="H124" t="s">
        <v>44</v>
      </c>
      <c r="I124">
        <v>2.4</v>
      </c>
      <c r="J124" t="s">
        <v>22</v>
      </c>
      <c r="K124">
        <v>4.2</v>
      </c>
      <c r="L124" t="s">
        <v>220</v>
      </c>
      <c r="M124">
        <v>45589</v>
      </c>
      <c r="N124">
        <v>45</v>
      </c>
      <c r="O124" t="s">
        <v>57</v>
      </c>
      <c r="P124">
        <v>-0.3</v>
      </c>
    </row>
    <row r="125" spans="1:16">
      <c r="A125">
        <v>124</v>
      </c>
      <c r="B125" t="s">
        <v>95</v>
      </c>
      <c r="C125" t="s">
        <v>117</v>
      </c>
      <c r="D125" t="s">
        <v>59</v>
      </c>
      <c r="E125" t="s">
        <v>36</v>
      </c>
      <c r="F125" t="s">
        <v>37</v>
      </c>
      <c r="G125">
        <v>93000</v>
      </c>
      <c r="H125" t="s">
        <v>29</v>
      </c>
      <c r="I125">
        <v>1.9</v>
      </c>
      <c r="J125" t="s">
        <v>61</v>
      </c>
      <c r="K125">
        <v>3.3</v>
      </c>
      <c r="L125" t="s">
        <v>221</v>
      </c>
      <c r="M125">
        <v>45621</v>
      </c>
      <c r="N125">
        <v>25</v>
      </c>
      <c r="O125" t="s">
        <v>51</v>
      </c>
      <c r="P125">
        <v>53.1</v>
      </c>
    </row>
    <row r="126" spans="1:16">
      <c r="A126">
        <v>125</v>
      </c>
      <c r="B126" t="s">
        <v>52</v>
      </c>
      <c r="C126" t="s">
        <v>113</v>
      </c>
      <c r="D126" t="s">
        <v>42</v>
      </c>
      <c r="E126" t="s">
        <v>64</v>
      </c>
      <c r="F126" t="s">
        <v>20</v>
      </c>
      <c r="G126">
        <v>143000</v>
      </c>
      <c r="H126" t="s">
        <v>104</v>
      </c>
      <c r="I126">
        <v>13.3</v>
      </c>
      <c r="J126" t="s">
        <v>61</v>
      </c>
      <c r="K126">
        <v>4.9000000000000004</v>
      </c>
      <c r="L126" t="s">
        <v>222</v>
      </c>
      <c r="M126">
        <v>45727</v>
      </c>
      <c r="N126">
        <v>16</v>
      </c>
      <c r="O126" t="s">
        <v>51</v>
      </c>
      <c r="P126">
        <v>73.900000000000006</v>
      </c>
    </row>
    <row r="127" spans="1:16">
      <c r="A127">
        <v>126</v>
      </c>
      <c r="B127" t="s">
        <v>77</v>
      </c>
      <c r="C127" t="s">
        <v>41</v>
      </c>
      <c r="D127" t="s">
        <v>42</v>
      </c>
      <c r="E127" t="s">
        <v>19</v>
      </c>
      <c r="F127" t="s">
        <v>20</v>
      </c>
      <c r="G127">
        <v>172000</v>
      </c>
      <c r="H127" t="s">
        <v>121</v>
      </c>
      <c r="I127">
        <v>8.6</v>
      </c>
      <c r="J127" t="s">
        <v>30</v>
      </c>
      <c r="K127">
        <v>4</v>
      </c>
      <c r="L127" t="s">
        <v>223</v>
      </c>
      <c r="M127">
        <v>45557</v>
      </c>
      <c r="N127">
        <v>51</v>
      </c>
      <c r="O127" t="s">
        <v>32</v>
      </c>
      <c r="P127">
        <v>53.3</v>
      </c>
    </row>
    <row r="128" spans="1:16">
      <c r="A128">
        <v>127</v>
      </c>
      <c r="B128" t="s">
        <v>73</v>
      </c>
      <c r="C128" t="s">
        <v>100</v>
      </c>
      <c r="D128" t="s">
        <v>18</v>
      </c>
      <c r="E128" t="s">
        <v>19</v>
      </c>
      <c r="F128" t="s">
        <v>37</v>
      </c>
      <c r="G128">
        <v>207000</v>
      </c>
      <c r="H128" t="s">
        <v>107</v>
      </c>
      <c r="I128">
        <v>5.7</v>
      </c>
      <c r="J128" t="s">
        <v>22</v>
      </c>
      <c r="K128">
        <v>4.8</v>
      </c>
      <c r="L128" t="s">
        <v>224</v>
      </c>
      <c r="M128">
        <v>45816</v>
      </c>
      <c r="N128">
        <v>11</v>
      </c>
      <c r="O128" t="s">
        <v>57</v>
      </c>
      <c r="P128">
        <v>83.4</v>
      </c>
    </row>
    <row r="129" spans="1:16">
      <c r="A129">
        <v>128</v>
      </c>
      <c r="B129" t="s">
        <v>79</v>
      </c>
      <c r="C129" t="s">
        <v>117</v>
      </c>
      <c r="D129" t="s">
        <v>48</v>
      </c>
      <c r="E129" t="s">
        <v>36</v>
      </c>
      <c r="F129" t="s">
        <v>20</v>
      </c>
      <c r="G129">
        <v>119000</v>
      </c>
      <c r="H129" t="s">
        <v>55</v>
      </c>
      <c r="I129">
        <v>1.5</v>
      </c>
      <c r="J129" t="s">
        <v>61</v>
      </c>
      <c r="K129">
        <v>3.6</v>
      </c>
      <c r="L129" t="s">
        <v>225</v>
      </c>
      <c r="M129">
        <v>45828</v>
      </c>
      <c r="N129">
        <v>20</v>
      </c>
      <c r="O129" t="s">
        <v>39</v>
      </c>
      <c r="P129">
        <v>55.1</v>
      </c>
    </row>
    <row r="130" spans="1:16">
      <c r="A130">
        <v>129</v>
      </c>
      <c r="B130" t="s">
        <v>79</v>
      </c>
      <c r="C130" t="s">
        <v>41</v>
      </c>
      <c r="D130" t="s">
        <v>98</v>
      </c>
      <c r="E130" t="s">
        <v>75</v>
      </c>
      <c r="F130" t="s">
        <v>37</v>
      </c>
      <c r="G130">
        <v>201000</v>
      </c>
      <c r="H130" t="s">
        <v>21</v>
      </c>
      <c r="I130">
        <v>10.199999999999999</v>
      </c>
      <c r="J130" t="s">
        <v>61</v>
      </c>
      <c r="K130">
        <v>3.7</v>
      </c>
      <c r="L130" t="s">
        <v>226</v>
      </c>
      <c r="M130">
        <v>45552</v>
      </c>
      <c r="N130">
        <v>34</v>
      </c>
      <c r="O130" t="s">
        <v>24</v>
      </c>
      <c r="P130">
        <v>28.6</v>
      </c>
    </row>
    <row r="131" spans="1:16">
      <c r="A131">
        <v>130</v>
      </c>
      <c r="B131" t="s">
        <v>73</v>
      </c>
      <c r="C131" t="s">
        <v>47</v>
      </c>
      <c r="D131" t="s">
        <v>59</v>
      </c>
      <c r="E131" t="s">
        <v>64</v>
      </c>
      <c r="F131" t="s">
        <v>37</v>
      </c>
      <c r="G131">
        <v>235000</v>
      </c>
      <c r="H131" t="s">
        <v>49</v>
      </c>
      <c r="I131">
        <v>15.4</v>
      </c>
      <c r="J131" t="s">
        <v>22</v>
      </c>
      <c r="K131">
        <v>4.5999999999999996</v>
      </c>
      <c r="L131" t="s">
        <v>227</v>
      </c>
      <c r="M131">
        <v>45762</v>
      </c>
      <c r="N131">
        <v>12</v>
      </c>
      <c r="O131" t="s">
        <v>39</v>
      </c>
      <c r="P131">
        <v>69.599999999999994</v>
      </c>
    </row>
    <row r="132" spans="1:16">
      <c r="A132">
        <v>131</v>
      </c>
      <c r="B132" t="s">
        <v>52</v>
      </c>
      <c r="C132" t="s">
        <v>58</v>
      </c>
      <c r="D132" t="s">
        <v>48</v>
      </c>
      <c r="E132" t="s">
        <v>64</v>
      </c>
      <c r="F132" t="s">
        <v>20</v>
      </c>
      <c r="G132">
        <v>154000</v>
      </c>
      <c r="H132" t="s">
        <v>30</v>
      </c>
      <c r="I132">
        <v>16.8</v>
      </c>
      <c r="J132" t="s">
        <v>30</v>
      </c>
      <c r="K132">
        <v>4.4000000000000004</v>
      </c>
      <c r="L132" t="s">
        <v>228</v>
      </c>
      <c r="M132">
        <v>45502</v>
      </c>
      <c r="N132">
        <v>34</v>
      </c>
      <c r="O132" t="s">
        <v>57</v>
      </c>
      <c r="P132">
        <v>41.2</v>
      </c>
    </row>
    <row r="133" spans="1:16">
      <c r="A133">
        <v>132</v>
      </c>
      <c r="B133" t="s">
        <v>79</v>
      </c>
      <c r="C133" t="s">
        <v>53</v>
      </c>
      <c r="D133" t="s">
        <v>18</v>
      </c>
      <c r="E133" t="s">
        <v>64</v>
      </c>
      <c r="F133" t="s">
        <v>20</v>
      </c>
      <c r="G133">
        <v>224000</v>
      </c>
      <c r="H133" t="s">
        <v>29</v>
      </c>
      <c r="I133">
        <v>13.2</v>
      </c>
      <c r="J133" t="s">
        <v>61</v>
      </c>
      <c r="K133">
        <v>4.5</v>
      </c>
      <c r="L133" t="s">
        <v>229</v>
      </c>
      <c r="M133">
        <v>45751</v>
      </c>
      <c r="N133">
        <v>8</v>
      </c>
      <c r="O133" t="s">
        <v>39</v>
      </c>
      <c r="P133">
        <v>83.8</v>
      </c>
    </row>
    <row r="134" spans="1:16">
      <c r="A134">
        <v>133</v>
      </c>
      <c r="B134" t="s">
        <v>79</v>
      </c>
      <c r="C134" t="s">
        <v>158</v>
      </c>
      <c r="D134" t="s">
        <v>35</v>
      </c>
      <c r="E134" t="s">
        <v>75</v>
      </c>
      <c r="F134" t="s">
        <v>20</v>
      </c>
      <c r="G134">
        <v>188000</v>
      </c>
      <c r="H134" t="s">
        <v>101</v>
      </c>
      <c r="I134">
        <v>8.9</v>
      </c>
      <c r="J134" t="s">
        <v>61</v>
      </c>
      <c r="K134">
        <v>3.9</v>
      </c>
      <c r="L134" t="s">
        <v>230</v>
      </c>
      <c r="M134">
        <v>45750</v>
      </c>
      <c r="N134">
        <v>13</v>
      </c>
      <c r="O134" t="s">
        <v>51</v>
      </c>
      <c r="P134">
        <v>5.7</v>
      </c>
    </row>
    <row r="135" spans="1:16">
      <c r="A135">
        <v>134</v>
      </c>
      <c r="B135" t="s">
        <v>135</v>
      </c>
      <c r="C135" t="s">
        <v>87</v>
      </c>
      <c r="D135" t="s">
        <v>98</v>
      </c>
      <c r="E135" t="s">
        <v>28</v>
      </c>
      <c r="F135" t="s">
        <v>37</v>
      </c>
      <c r="G135">
        <v>89000</v>
      </c>
      <c r="H135" t="s">
        <v>30</v>
      </c>
      <c r="I135">
        <v>3.4</v>
      </c>
      <c r="J135" t="s">
        <v>22</v>
      </c>
      <c r="K135">
        <v>3.8</v>
      </c>
      <c r="L135" t="s">
        <v>231</v>
      </c>
      <c r="M135">
        <v>45651</v>
      </c>
      <c r="N135">
        <v>14</v>
      </c>
      <c r="O135" t="s">
        <v>51</v>
      </c>
      <c r="P135">
        <v>12</v>
      </c>
    </row>
    <row r="136" spans="1:16">
      <c r="A136">
        <v>135</v>
      </c>
      <c r="B136" t="s">
        <v>52</v>
      </c>
      <c r="C136" t="s">
        <v>143</v>
      </c>
      <c r="D136" t="s">
        <v>42</v>
      </c>
      <c r="E136" t="s">
        <v>36</v>
      </c>
      <c r="F136" t="s">
        <v>37</v>
      </c>
      <c r="G136">
        <v>96000</v>
      </c>
      <c r="H136" t="s">
        <v>29</v>
      </c>
      <c r="I136">
        <v>0.5</v>
      </c>
      <c r="J136" t="s">
        <v>30</v>
      </c>
      <c r="K136">
        <v>4.2</v>
      </c>
      <c r="L136" t="s">
        <v>232</v>
      </c>
      <c r="M136">
        <v>45599</v>
      </c>
      <c r="N136">
        <v>52</v>
      </c>
      <c r="O136" t="s">
        <v>39</v>
      </c>
      <c r="P136">
        <v>31.2</v>
      </c>
    </row>
    <row r="137" spans="1:16">
      <c r="A137">
        <v>136</v>
      </c>
      <c r="B137" t="s">
        <v>25</v>
      </c>
      <c r="C137" t="s">
        <v>47</v>
      </c>
      <c r="D137" t="s">
        <v>48</v>
      </c>
      <c r="E137" t="s">
        <v>36</v>
      </c>
      <c r="F137" t="s">
        <v>20</v>
      </c>
      <c r="G137">
        <v>139000</v>
      </c>
      <c r="H137" t="s">
        <v>49</v>
      </c>
      <c r="I137">
        <v>1.6</v>
      </c>
      <c r="J137" t="s">
        <v>61</v>
      </c>
      <c r="K137">
        <v>3.6</v>
      </c>
      <c r="L137" t="s">
        <v>233</v>
      </c>
      <c r="M137">
        <v>45547</v>
      </c>
      <c r="N137">
        <v>47</v>
      </c>
      <c r="O137" t="s">
        <v>24</v>
      </c>
      <c r="P137">
        <v>14.9</v>
      </c>
    </row>
    <row r="138" spans="1:16">
      <c r="A138">
        <v>137</v>
      </c>
      <c r="B138" t="s">
        <v>66</v>
      </c>
      <c r="C138" t="s">
        <v>93</v>
      </c>
      <c r="D138" t="s">
        <v>18</v>
      </c>
      <c r="E138" t="s">
        <v>64</v>
      </c>
      <c r="F138" t="s">
        <v>71</v>
      </c>
      <c r="G138">
        <v>234000</v>
      </c>
      <c r="H138" t="s">
        <v>104</v>
      </c>
      <c r="I138">
        <v>15</v>
      </c>
      <c r="J138" t="s">
        <v>30</v>
      </c>
      <c r="K138">
        <v>4</v>
      </c>
      <c r="L138" t="s">
        <v>234</v>
      </c>
      <c r="M138">
        <v>45637</v>
      </c>
      <c r="N138">
        <v>49</v>
      </c>
      <c r="O138" t="s">
        <v>32</v>
      </c>
      <c r="P138">
        <v>31.7</v>
      </c>
    </row>
    <row r="139" spans="1:16">
      <c r="A139">
        <v>138</v>
      </c>
      <c r="B139" t="s">
        <v>66</v>
      </c>
      <c r="C139" t="s">
        <v>87</v>
      </c>
      <c r="D139" t="s">
        <v>98</v>
      </c>
      <c r="E139" t="s">
        <v>64</v>
      </c>
      <c r="F139" t="s">
        <v>20</v>
      </c>
      <c r="G139">
        <v>191000</v>
      </c>
      <c r="H139" t="s">
        <v>30</v>
      </c>
      <c r="I139">
        <v>16.899999999999999</v>
      </c>
      <c r="J139" t="s">
        <v>30</v>
      </c>
      <c r="K139">
        <v>3.9</v>
      </c>
      <c r="L139" t="s">
        <v>235</v>
      </c>
      <c r="M139">
        <v>45759</v>
      </c>
      <c r="N139">
        <v>38</v>
      </c>
      <c r="O139" t="s">
        <v>57</v>
      </c>
      <c r="P139">
        <v>30</v>
      </c>
    </row>
    <row r="140" spans="1:16">
      <c r="A140">
        <v>139</v>
      </c>
      <c r="B140" t="s">
        <v>66</v>
      </c>
      <c r="C140" t="s">
        <v>74</v>
      </c>
      <c r="D140" t="s">
        <v>54</v>
      </c>
      <c r="E140" t="s">
        <v>36</v>
      </c>
      <c r="F140" t="s">
        <v>43</v>
      </c>
      <c r="G140">
        <v>111000</v>
      </c>
      <c r="H140" t="s">
        <v>131</v>
      </c>
      <c r="I140">
        <v>1.1000000000000001</v>
      </c>
      <c r="J140" t="s">
        <v>61</v>
      </c>
      <c r="K140">
        <v>3.1</v>
      </c>
      <c r="L140" t="s">
        <v>236</v>
      </c>
      <c r="M140">
        <v>45511</v>
      </c>
      <c r="N140">
        <v>17</v>
      </c>
      <c r="O140" t="s">
        <v>24</v>
      </c>
      <c r="P140">
        <v>60.2</v>
      </c>
    </row>
    <row r="141" spans="1:16">
      <c r="A141">
        <v>140</v>
      </c>
      <c r="B141" t="s">
        <v>135</v>
      </c>
      <c r="C141" t="s">
        <v>74</v>
      </c>
      <c r="D141" t="s">
        <v>59</v>
      </c>
      <c r="E141" t="s">
        <v>28</v>
      </c>
      <c r="F141" t="s">
        <v>43</v>
      </c>
      <c r="G141">
        <v>107000</v>
      </c>
      <c r="H141" t="s">
        <v>30</v>
      </c>
      <c r="I141">
        <v>4.9000000000000004</v>
      </c>
      <c r="J141" t="s">
        <v>30</v>
      </c>
      <c r="K141">
        <v>4.9000000000000004</v>
      </c>
      <c r="L141" t="s">
        <v>237</v>
      </c>
      <c r="M141">
        <v>45830</v>
      </c>
      <c r="N141">
        <v>43</v>
      </c>
      <c r="O141" t="s">
        <v>57</v>
      </c>
      <c r="P141">
        <v>30.7</v>
      </c>
    </row>
    <row r="142" spans="1:16">
      <c r="A142">
        <v>141</v>
      </c>
      <c r="B142" t="s">
        <v>25</v>
      </c>
      <c r="C142" t="s">
        <v>47</v>
      </c>
      <c r="D142" t="s">
        <v>54</v>
      </c>
      <c r="E142" t="s">
        <v>19</v>
      </c>
      <c r="F142" t="s">
        <v>20</v>
      </c>
      <c r="G142">
        <v>214000</v>
      </c>
      <c r="H142" t="s">
        <v>30</v>
      </c>
      <c r="I142">
        <v>6.2</v>
      </c>
      <c r="J142" t="s">
        <v>30</v>
      </c>
      <c r="K142">
        <v>4.8</v>
      </c>
      <c r="L142" t="s">
        <v>238</v>
      </c>
      <c r="M142">
        <v>45637</v>
      </c>
      <c r="N142">
        <v>63</v>
      </c>
      <c r="O142" t="s">
        <v>57</v>
      </c>
      <c r="P142">
        <v>28.4</v>
      </c>
    </row>
    <row r="143" spans="1:16">
      <c r="A143">
        <v>142</v>
      </c>
      <c r="B143" t="s">
        <v>95</v>
      </c>
      <c r="C143" t="s">
        <v>158</v>
      </c>
      <c r="D143" t="s">
        <v>48</v>
      </c>
      <c r="E143" t="s">
        <v>28</v>
      </c>
      <c r="F143" t="s">
        <v>20</v>
      </c>
      <c r="G143">
        <v>141000</v>
      </c>
      <c r="H143" t="s">
        <v>101</v>
      </c>
      <c r="I143">
        <v>2.9</v>
      </c>
      <c r="J143" t="s">
        <v>30</v>
      </c>
      <c r="K143">
        <v>3.5</v>
      </c>
      <c r="L143" t="s">
        <v>239</v>
      </c>
      <c r="M143">
        <v>45824</v>
      </c>
      <c r="N143">
        <v>26</v>
      </c>
      <c r="O143" t="s">
        <v>51</v>
      </c>
      <c r="P143">
        <v>63.7</v>
      </c>
    </row>
    <row r="144" spans="1:16">
      <c r="A144">
        <v>143</v>
      </c>
      <c r="B144" t="s">
        <v>79</v>
      </c>
      <c r="C144" t="s">
        <v>143</v>
      </c>
      <c r="D144" t="s">
        <v>59</v>
      </c>
      <c r="E144" t="s">
        <v>75</v>
      </c>
      <c r="F144" t="s">
        <v>20</v>
      </c>
      <c r="G144">
        <v>204000</v>
      </c>
      <c r="H144" t="s">
        <v>104</v>
      </c>
      <c r="I144">
        <v>7.7</v>
      </c>
      <c r="J144" t="s">
        <v>30</v>
      </c>
      <c r="K144">
        <v>3.4</v>
      </c>
      <c r="L144" t="s">
        <v>240</v>
      </c>
      <c r="M144">
        <v>45816</v>
      </c>
      <c r="N144">
        <v>8</v>
      </c>
      <c r="O144" t="s">
        <v>39</v>
      </c>
      <c r="P144">
        <v>32.1</v>
      </c>
    </row>
    <row r="145" spans="1:16">
      <c r="A145">
        <v>144</v>
      </c>
      <c r="B145" t="s">
        <v>33</v>
      </c>
      <c r="C145" t="s">
        <v>111</v>
      </c>
      <c r="D145" t="s">
        <v>48</v>
      </c>
      <c r="E145" t="s">
        <v>36</v>
      </c>
      <c r="F145" t="s">
        <v>37</v>
      </c>
      <c r="G145">
        <v>90000</v>
      </c>
      <c r="H145" t="s">
        <v>107</v>
      </c>
      <c r="I145">
        <v>1</v>
      </c>
      <c r="J145" t="s">
        <v>30</v>
      </c>
      <c r="K145">
        <v>4.2</v>
      </c>
      <c r="L145" t="s">
        <v>241</v>
      </c>
      <c r="M145">
        <v>45482</v>
      </c>
      <c r="N145">
        <v>5</v>
      </c>
      <c r="O145" t="s">
        <v>24</v>
      </c>
      <c r="P145">
        <v>44.6</v>
      </c>
    </row>
    <row r="146" spans="1:16">
      <c r="A146">
        <v>145</v>
      </c>
      <c r="B146" t="s">
        <v>77</v>
      </c>
      <c r="C146" t="s">
        <v>63</v>
      </c>
      <c r="D146" t="s">
        <v>35</v>
      </c>
      <c r="E146" t="s">
        <v>64</v>
      </c>
      <c r="F146" t="s">
        <v>71</v>
      </c>
      <c r="G146">
        <v>167000</v>
      </c>
      <c r="H146" t="s">
        <v>101</v>
      </c>
      <c r="I146">
        <v>16.399999999999999</v>
      </c>
      <c r="J146" t="s">
        <v>61</v>
      </c>
      <c r="K146">
        <v>3.2</v>
      </c>
      <c r="L146" t="s">
        <v>242</v>
      </c>
      <c r="M146">
        <v>45572</v>
      </c>
      <c r="N146">
        <v>44</v>
      </c>
      <c r="O146" t="s">
        <v>24</v>
      </c>
      <c r="P146">
        <v>17.7</v>
      </c>
    </row>
    <row r="147" spans="1:16">
      <c r="A147">
        <v>146</v>
      </c>
      <c r="B147" t="s">
        <v>109</v>
      </c>
      <c r="C147" t="s">
        <v>93</v>
      </c>
      <c r="D147" t="s">
        <v>27</v>
      </c>
      <c r="E147" t="s">
        <v>36</v>
      </c>
      <c r="F147" t="s">
        <v>20</v>
      </c>
      <c r="G147">
        <v>109000</v>
      </c>
      <c r="H147" t="s">
        <v>55</v>
      </c>
      <c r="I147">
        <v>1.1000000000000001</v>
      </c>
      <c r="J147" t="s">
        <v>61</v>
      </c>
      <c r="K147">
        <v>3.5</v>
      </c>
      <c r="L147" t="s">
        <v>243</v>
      </c>
      <c r="M147">
        <v>45490</v>
      </c>
      <c r="N147">
        <v>10</v>
      </c>
      <c r="O147" t="s">
        <v>32</v>
      </c>
      <c r="P147">
        <v>29.1</v>
      </c>
    </row>
    <row r="148" spans="1:16">
      <c r="A148">
        <v>147</v>
      </c>
      <c r="B148" t="s">
        <v>135</v>
      </c>
      <c r="C148" t="s">
        <v>83</v>
      </c>
      <c r="D148" t="s">
        <v>18</v>
      </c>
      <c r="E148" t="s">
        <v>36</v>
      </c>
      <c r="F148" t="s">
        <v>37</v>
      </c>
      <c r="G148">
        <v>73000</v>
      </c>
      <c r="H148" t="s">
        <v>121</v>
      </c>
      <c r="I148">
        <v>1.7</v>
      </c>
      <c r="J148" t="s">
        <v>22</v>
      </c>
      <c r="K148">
        <v>3.7</v>
      </c>
      <c r="L148" t="s">
        <v>244</v>
      </c>
      <c r="M148">
        <v>45591</v>
      </c>
      <c r="N148">
        <v>18</v>
      </c>
      <c r="O148" t="s">
        <v>24</v>
      </c>
      <c r="P148">
        <v>37.799999999999997</v>
      </c>
    </row>
    <row r="149" spans="1:16">
      <c r="A149">
        <v>148</v>
      </c>
      <c r="B149" t="s">
        <v>77</v>
      </c>
      <c r="C149" t="s">
        <v>201</v>
      </c>
      <c r="D149" t="s">
        <v>42</v>
      </c>
      <c r="E149" t="s">
        <v>19</v>
      </c>
      <c r="F149" t="s">
        <v>43</v>
      </c>
      <c r="G149">
        <v>166000</v>
      </c>
      <c r="H149" t="s">
        <v>88</v>
      </c>
      <c r="I149">
        <v>5.7</v>
      </c>
      <c r="J149" t="s">
        <v>22</v>
      </c>
      <c r="K149">
        <v>3</v>
      </c>
      <c r="L149" t="s">
        <v>245</v>
      </c>
      <c r="M149">
        <v>45838</v>
      </c>
      <c r="N149">
        <v>57</v>
      </c>
      <c r="O149" t="s">
        <v>32</v>
      </c>
      <c r="P149">
        <v>78.599999999999994</v>
      </c>
    </row>
    <row r="150" spans="1:16">
      <c r="A150">
        <v>149</v>
      </c>
      <c r="B150" t="s">
        <v>66</v>
      </c>
      <c r="C150" t="s">
        <v>100</v>
      </c>
      <c r="D150" t="s">
        <v>48</v>
      </c>
      <c r="E150" t="s">
        <v>64</v>
      </c>
      <c r="F150" t="s">
        <v>37</v>
      </c>
      <c r="G150">
        <v>205000</v>
      </c>
      <c r="H150" t="s">
        <v>30</v>
      </c>
      <c r="I150">
        <v>13.1</v>
      </c>
      <c r="J150" t="s">
        <v>22</v>
      </c>
      <c r="K150">
        <v>4.5999999999999996</v>
      </c>
      <c r="L150" t="s">
        <v>246</v>
      </c>
      <c r="M150">
        <v>45501</v>
      </c>
      <c r="N150">
        <v>11</v>
      </c>
      <c r="O150" t="s">
        <v>32</v>
      </c>
      <c r="P150">
        <v>15.9</v>
      </c>
    </row>
    <row r="151" spans="1:16">
      <c r="A151">
        <v>150</v>
      </c>
      <c r="B151" t="s">
        <v>69</v>
      </c>
      <c r="C151" t="s">
        <v>117</v>
      </c>
      <c r="D151" t="s">
        <v>27</v>
      </c>
      <c r="E151" t="s">
        <v>19</v>
      </c>
      <c r="F151" t="s">
        <v>20</v>
      </c>
      <c r="G151">
        <v>162000</v>
      </c>
      <c r="H151" t="s">
        <v>55</v>
      </c>
      <c r="I151">
        <v>7</v>
      </c>
      <c r="J151" t="s">
        <v>30</v>
      </c>
      <c r="K151">
        <v>4.9000000000000004</v>
      </c>
      <c r="L151" t="s">
        <v>247</v>
      </c>
      <c r="M151">
        <v>45668</v>
      </c>
      <c r="N151">
        <v>10</v>
      </c>
      <c r="O151" t="s">
        <v>24</v>
      </c>
      <c r="P151">
        <v>21.6</v>
      </c>
    </row>
    <row r="152" spans="1:16">
      <c r="A152">
        <v>151</v>
      </c>
      <c r="B152" t="s">
        <v>25</v>
      </c>
      <c r="C152" t="s">
        <v>26</v>
      </c>
      <c r="D152" t="s">
        <v>42</v>
      </c>
      <c r="E152" t="s">
        <v>36</v>
      </c>
      <c r="F152" t="s">
        <v>20</v>
      </c>
      <c r="G152">
        <v>143000</v>
      </c>
      <c r="H152" t="s">
        <v>60</v>
      </c>
      <c r="I152">
        <v>1.5</v>
      </c>
      <c r="J152" t="s">
        <v>30</v>
      </c>
      <c r="K152">
        <v>3.2</v>
      </c>
      <c r="L152" t="s">
        <v>248</v>
      </c>
      <c r="M152">
        <v>45612</v>
      </c>
      <c r="N152">
        <v>11</v>
      </c>
      <c r="O152" t="s">
        <v>57</v>
      </c>
      <c r="P152">
        <v>2.9</v>
      </c>
    </row>
    <row r="153" spans="1:16">
      <c r="A153">
        <v>152</v>
      </c>
      <c r="B153" t="s">
        <v>95</v>
      </c>
      <c r="C153" t="s">
        <v>133</v>
      </c>
      <c r="D153" t="s">
        <v>27</v>
      </c>
      <c r="E153" t="s">
        <v>36</v>
      </c>
      <c r="F153" t="s">
        <v>20</v>
      </c>
      <c r="G153">
        <v>103000</v>
      </c>
      <c r="H153" t="s">
        <v>131</v>
      </c>
      <c r="I153">
        <v>1.2</v>
      </c>
      <c r="J153" t="s">
        <v>61</v>
      </c>
      <c r="K153">
        <v>4.7</v>
      </c>
      <c r="L153" t="s">
        <v>249</v>
      </c>
      <c r="M153">
        <v>45517</v>
      </c>
      <c r="N153">
        <v>51</v>
      </c>
      <c r="O153" t="s">
        <v>24</v>
      </c>
      <c r="P153">
        <v>76.5</v>
      </c>
    </row>
    <row r="154" spans="1:16">
      <c r="A154">
        <v>153</v>
      </c>
      <c r="B154" t="s">
        <v>25</v>
      </c>
      <c r="C154" t="s">
        <v>53</v>
      </c>
      <c r="D154" t="s">
        <v>98</v>
      </c>
      <c r="E154" t="s">
        <v>75</v>
      </c>
      <c r="F154" t="s">
        <v>20</v>
      </c>
      <c r="G154">
        <v>227000</v>
      </c>
      <c r="H154" t="s">
        <v>30</v>
      </c>
      <c r="I154">
        <v>8.3000000000000007</v>
      </c>
      <c r="J154" t="s">
        <v>30</v>
      </c>
      <c r="K154">
        <v>3.3</v>
      </c>
      <c r="L154" t="s">
        <v>250</v>
      </c>
      <c r="M154">
        <v>45658</v>
      </c>
      <c r="N154">
        <v>21</v>
      </c>
      <c r="O154" t="s">
        <v>57</v>
      </c>
      <c r="P154">
        <v>59.9</v>
      </c>
    </row>
    <row r="155" spans="1:16">
      <c r="A155">
        <v>154</v>
      </c>
      <c r="B155" t="s">
        <v>79</v>
      </c>
      <c r="C155" t="s">
        <v>136</v>
      </c>
      <c r="D155" t="s">
        <v>48</v>
      </c>
      <c r="E155" t="s">
        <v>75</v>
      </c>
      <c r="F155" t="s">
        <v>20</v>
      </c>
      <c r="G155">
        <v>201000</v>
      </c>
      <c r="H155" t="s">
        <v>29</v>
      </c>
      <c r="I155">
        <v>11.7</v>
      </c>
      <c r="J155" t="s">
        <v>30</v>
      </c>
      <c r="K155">
        <v>4.2</v>
      </c>
      <c r="L155" t="s">
        <v>251</v>
      </c>
      <c r="M155">
        <v>45778</v>
      </c>
      <c r="N155">
        <v>13</v>
      </c>
      <c r="O155" t="s">
        <v>51</v>
      </c>
      <c r="P155">
        <v>23.9</v>
      </c>
    </row>
    <row r="156" spans="1:16">
      <c r="A156">
        <v>155</v>
      </c>
      <c r="B156" t="s">
        <v>73</v>
      </c>
      <c r="C156" t="s">
        <v>74</v>
      </c>
      <c r="D156" t="s">
        <v>59</v>
      </c>
      <c r="E156" t="s">
        <v>19</v>
      </c>
      <c r="F156" t="s">
        <v>20</v>
      </c>
      <c r="G156">
        <v>196000</v>
      </c>
      <c r="H156" t="s">
        <v>30</v>
      </c>
      <c r="I156">
        <v>6.2</v>
      </c>
      <c r="J156" t="s">
        <v>22</v>
      </c>
      <c r="K156">
        <v>4</v>
      </c>
      <c r="L156" t="s">
        <v>252</v>
      </c>
      <c r="M156">
        <v>45675</v>
      </c>
      <c r="N156">
        <v>28</v>
      </c>
      <c r="O156" t="s">
        <v>39</v>
      </c>
      <c r="P156">
        <v>78.900000000000006</v>
      </c>
    </row>
    <row r="157" spans="1:16">
      <c r="A157">
        <v>156</v>
      </c>
      <c r="B157" t="s">
        <v>25</v>
      </c>
      <c r="C157" t="s">
        <v>53</v>
      </c>
      <c r="D157" t="s">
        <v>98</v>
      </c>
      <c r="E157" t="s">
        <v>64</v>
      </c>
      <c r="F157" t="s">
        <v>20</v>
      </c>
      <c r="G157">
        <v>291000</v>
      </c>
      <c r="H157" t="s">
        <v>55</v>
      </c>
      <c r="I157">
        <v>17.5</v>
      </c>
      <c r="J157" t="s">
        <v>30</v>
      </c>
      <c r="K157">
        <v>4.5999999999999996</v>
      </c>
      <c r="L157" t="s">
        <v>253</v>
      </c>
      <c r="M157">
        <v>45729</v>
      </c>
      <c r="N157">
        <v>13</v>
      </c>
      <c r="O157" t="s">
        <v>51</v>
      </c>
      <c r="P157">
        <v>16.8</v>
      </c>
    </row>
    <row r="158" spans="1:16">
      <c r="A158">
        <v>157</v>
      </c>
      <c r="B158" t="s">
        <v>16</v>
      </c>
      <c r="C158" t="s">
        <v>115</v>
      </c>
      <c r="D158" t="s">
        <v>27</v>
      </c>
      <c r="E158" t="s">
        <v>75</v>
      </c>
      <c r="F158" t="s">
        <v>20</v>
      </c>
      <c r="G158">
        <v>200000</v>
      </c>
      <c r="H158" t="s">
        <v>121</v>
      </c>
      <c r="I158">
        <v>9.9</v>
      </c>
      <c r="J158" t="s">
        <v>30</v>
      </c>
      <c r="K158">
        <v>4.8</v>
      </c>
      <c r="L158" t="s">
        <v>254</v>
      </c>
      <c r="M158">
        <v>45778</v>
      </c>
      <c r="N158">
        <v>45</v>
      </c>
      <c r="O158" t="s">
        <v>39</v>
      </c>
      <c r="P158">
        <v>4.8</v>
      </c>
    </row>
    <row r="159" spans="1:16">
      <c r="A159">
        <v>158</v>
      </c>
      <c r="B159" t="s">
        <v>25</v>
      </c>
      <c r="C159" t="s">
        <v>152</v>
      </c>
      <c r="D159" t="s">
        <v>54</v>
      </c>
      <c r="E159" t="s">
        <v>28</v>
      </c>
      <c r="F159" t="s">
        <v>20</v>
      </c>
      <c r="G159">
        <v>160000</v>
      </c>
      <c r="H159" t="s">
        <v>84</v>
      </c>
      <c r="I159">
        <v>4.9000000000000004</v>
      </c>
      <c r="J159" t="s">
        <v>30</v>
      </c>
      <c r="K159">
        <v>4.5999999999999996</v>
      </c>
      <c r="L159" t="s">
        <v>255</v>
      </c>
      <c r="M159">
        <v>45587</v>
      </c>
      <c r="N159">
        <v>37</v>
      </c>
      <c r="O159" t="s">
        <v>24</v>
      </c>
      <c r="P159">
        <v>45.2</v>
      </c>
    </row>
    <row r="160" spans="1:16">
      <c r="A160">
        <v>159</v>
      </c>
      <c r="B160" t="s">
        <v>73</v>
      </c>
      <c r="C160" t="s">
        <v>53</v>
      </c>
      <c r="D160" t="s">
        <v>48</v>
      </c>
      <c r="E160" t="s">
        <v>75</v>
      </c>
      <c r="F160" t="s">
        <v>20</v>
      </c>
      <c r="G160">
        <v>230000</v>
      </c>
      <c r="H160" t="s">
        <v>60</v>
      </c>
      <c r="I160">
        <v>8.6999999999999993</v>
      </c>
      <c r="J160" t="s">
        <v>30</v>
      </c>
      <c r="K160">
        <v>3.2</v>
      </c>
      <c r="L160" t="s">
        <v>256</v>
      </c>
      <c r="M160">
        <v>45546</v>
      </c>
      <c r="N160">
        <v>27</v>
      </c>
      <c r="O160" t="s">
        <v>51</v>
      </c>
      <c r="P160">
        <v>25.9</v>
      </c>
    </row>
    <row r="161" spans="1:16">
      <c r="A161">
        <v>160</v>
      </c>
      <c r="B161" t="s">
        <v>40</v>
      </c>
      <c r="C161" t="s">
        <v>74</v>
      </c>
      <c r="D161" t="s">
        <v>59</v>
      </c>
      <c r="E161" t="s">
        <v>19</v>
      </c>
      <c r="F161" t="s">
        <v>20</v>
      </c>
      <c r="G161">
        <v>173000</v>
      </c>
      <c r="H161" t="s">
        <v>55</v>
      </c>
      <c r="I161">
        <v>6.3</v>
      </c>
      <c r="J161" t="s">
        <v>30</v>
      </c>
      <c r="K161">
        <v>4.5999999999999996</v>
      </c>
      <c r="L161" t="s">
        <v>257</v>
      </c>
      <c r="M161">
        <v>45805</v>
      </c>
      <c r="N161">
        <v>11</v>
      </c>
      <c r="O161" t="s">
        <v>57</v>
      </c>
      <c r="P161">
        <v>78.7</v>
      </c>
    </row>
    <row r="162" spans="1:16">
      <c r="A162">
        <v>161</v>
      </c>
      <c r="B162" t="s">
        <v>73</v>
      </c>
      <c r="C162" t="s">
        <v>91</v>
      </c>
      <c r="D162" t="s">
        <v>98</v>
      </c>
      <c r="E162" t="s">
        <v>64</v>
      </c>
      <c r="F162" t="s">
        <v>20</v>
      </c>
      <c r="G162">
        <v>264000</v>
      </c>
      <c r="H162" t="s">
        <v>101</v>
      </c>
      <c r="I162">
        <v>17.7</v>
      </c>
      <c r="J162" t="s">
        <v>30</v>
      </c>
      <c r="K162">
        <v>3.8</v>
      </c>
      <c r="L162" t="s">
        <v>258</v>
      </c>
      <c r="M162">
        <v>45695</v>
      </c>
      <c r="N162">
        <v>30</v>
      </c>
      <c r="O162" t="s">
        <v>39</v>
      </c>
      <c r="P162">
        <v>61.4</v>
      </c>
    </row>
    <row r="163" spans="1:16">
      <c r="A163">
        <v>162</v>
      </c>
      <c r="B163" t="s">
        <v>52</v>
      </c>
      <c r="C163" t="s">
        <v>74</v>
      </c>
      <c r="D163" t="s">
        <v>59</v>
      </c>
      <c r="E163" t="s">
        <v>64</v>
      </c>
      <c r="F163" t="s">
        <v>20</v>
      </c>
      <c r="G163">
        <v>141000</v>
      </c>
      <c r="H163" t="s">
        <v>107</v>
      </c>
      <c r="I163">
        <v>11.6</v>
      </c>
      <c r="J163" t="s">
        <v>22</v>
      </c>
      <c r="K163">
        <v>4.5999999999999996</v>
      </c>
      <c r="L163" t="s">
        <v>259</v>
      </c>
      <c r="M163">
        <v>45748</v>
      </c>
      <c r="N163">
        <v>16</v>
      </c>
      <c r="O163" t="s">
        <v>51</v>
      </c>
      <c r="P163">
        <v>24.3</v>
      </c>
    </row>
    <row r="164" spans="1:16">
      <c r="A164">
        <v>163</v>
      </c>
      <c r="B164" t="s">
        <v>79</v>
      </c>
      <c r="C164" t="s">
        <v>17</v>
      </c>
      <c r="D164" t="s">
        <v>35</v>
      </c>
      <c r="E164" t="s">
        <v>75</v>
      </c>
      <c r="F164" t="s">
        <v>20</v>
      </c>
      <c r="G164">
        <v>201000</v>
      </c>
      <c r="H164" t="s">
        <v>84</v>
      </c>
      <c r="I164">
        <v>10.1</v>
      </c>
      <c r="J164" t="s">
        <v>22</v>
      </c>
      <c r="K164">
        <v>3.7</v>
      </c>
      <c r="L164" t="s">
        <v>260</v>
      </c>
      <c r="M164">
        <v>45626</v>
      </c>
      <c r="N164">
        <v>63</v>
      </c>
      <c r="O164" t="s">
        <v>24</v>
      </c>
      <c r="P164">
        <v>48.1</v>
      </c>
    </row>
    <row r="165" spans="1:16">
      <c r="A165">
        <v>164</v>
      </c>
      <c r="B165" t="s">
        <v>16</v>
      </c>
      <c r="C165" t="s">
        <v>115</v>
      </c>
      <c r="D165" t="s">
        <v>54</v>
      </c>
      <c r="E165" t="s">
        <v>36</v>
      </c>
      <c r="F165" t="s">
        <v>20</v>
      </c>
      <c r="G165">
        <v>99000</v>
      </c>
      <c r="H165" t="s">
        <v>104</v>
      </c>
      <c r="I165">
        <v>0.7</v>
      </c>
      <c r="J165" t="s">
        <v>30</v>
      </c>
      <c r="K165">
        <v>3.8</v>
      </c>
      <c r="L165" t="s">
        <v>261</v>
      </c>
      <c r="M165">
        <v>45723</v>
      </c>
      <c r="N165">
        <v>45</v>
      </c>
      <c r="O165" t="s">
        <v>24</v>
      </c>
      <c r="P165">
        <v>57.4</v>
      </c>
    </row>
    <row r="166" spans="1:16">
      <c r="A166">
        <v>165</v>
      </c>
      <c r="B166" t="s">
        <v>16</v>
      </c>
      <c r="C166" t="s">
        <v>201</v>
      </c>
      <c r="D166" t="s">
        <v>98</v>
      </c>
      <c r="E166" t="s">
        <v>64</v>
      </c>
      <c r="F166" t="s">
        <v>20</v>
      </c>
      <c r="G166">
        <v>197000</v>
      </c>
      <c r="H166" t="s">
        <v>60</v>
      </c>
      <c r="I166">
        <v>11.5</v>
      </c>
      <c r="J166" t="s">
        <v>61</v>
      </c>
      <c r="K166">
        <v>4.2</v>
      </c>
      <c r="L166" t="s">
        <v>262</v>
      </c>
      <c r="M166">
        <v>45670</v>
      </c>
      <c r="N166">
        <v>40</v>
      </c>
      <c r="O166" t="s">
        <v>24</v>
      </c>
      <c r="P166">
        <v>53.8</v>
      </c>
    </row>
    <row r="167" spans="1:16">
      <c r="A167">
        <v>166</v>
      </c>
      <c r="B167" t="s">
        <v>95</v>
      </c>
      <c r="C167" t="s">
        <v>152</v>
      </c>
      <c r="D167" t="s">
        <v>59</v>
      </c>
      <c r="E167" t="s">
        <v>75</v>
      </c>
      <c r="F167" t="s">
        <v>37</v>
      </c>
      <c r="G167">
        <v>177000</v>
      </c>
      <c r="H167" t="s">
        <v>121</v>
      </c>
      <c r="I167">
        <v>7.8</v>
      </c>
      <c r="J167" t="s">
        <v>22</v>
      </c>
      <c r="K167">
        <v>4.5999999999999996</v>
      </c>
      <c r="L167" t="s">
        <v>219</v>
      </c>
      <c r="M167">
        <v>45589</v>
      </c>
      <c r="N167">
        <v>39</v>
      </c>
      <c r="O167" t="s">
        <v>51</v>
      </c>
      <c r="P167">
        <v>10.1</v>
      </c>
    </row>
    <row r="168" spans="1:16">
      <c r="A168">
        <v>167</v>
      </c>
      <c r="B168" t="s">
        <v>79</v>
      </c>
      <c r="C168" t="s">
        <v>53</v>
      </c>
      <c r="D168" t="s">
        <v>59</v>
      </c>
      <c r="E168" t="s">
        <v>64</v>
      </c>
      <c r="F168" t="s">
        <v>20</v>
      </c>
      <c r="G168">
        <v>246000</v>
      </c>
      <c r="H168" t="s">
        <v>21</v>
      </c>
      <c r="I168">
        <v>12.1</v>
      </c>
      <c r="J168" t="s">
        <v>22</v>
      </c>
      <c r="K168">
        <v>5</v>
      </c>
      <c r="L168" t="s">
        <v>263</v>
      </c>
      <c r="M168">
        <v>45753</v>
      </c>
      <c r="N168">
        <v>18</v>
      </c>
      <c r="O168" t="s">
        <v>32</v>
      </c>
      <c r="P168">
        <v>4.2</v>
      </c>
    </row>
    <row r="169" spans="1:16">
      <c r="A169">
        <v>168</v>
      </c>
      <c r="B169" t="s">
        <v>33</v>
      </c>
      <c r="C169" t="s">
        <v>111</v>
      </c>
      <c r="D169" t="s">
        <v>48</v>
      </c>
      <c r="E169" t="s">
        <v>19</v>
      </c>
      <c r="F169" t="s">
        <v>43</v>
      </c>
      <c r="G169">
        <v>130000</v>
      </c>
      <c r="H169" t="s">
        <v>55</v>
      </c>
      <c r="I169">
        <v>6.1</v>
      </c>
      <c r="J169" t="s">
        <v>22</v>
      </c>
      <c r="K169">
        <v>3.2</v>
      </c>
      <c r="L169" t="s">
        <v>264</v>
      </c>
      <c r="M169">
        <v>45581</v>
      </c>
      <c r="N169">
        <v>56</v>
      </c>
      <c r="O169" t="s">
        <v>24</v>
      </c>
      <c r="P169">
        <v>57</v>
      </c>
    </row>
    <row r="170" spans="1:16">
      <c r="A170">
        <v>169</v>
      </c>
      <c r="B170" t="s">
        <v>33</v>
      </c>
      <c r="C170" t="s">
        <v>26</v>
      </c>
      <c r="D170" t="s">
        <v>27</v>
      </c>
      <c r="E170" t="s">
        <v>28</v>
      </c>
      <c r="F170" t="s">
        <v>20</v>
      </c>
      <c r="G170">
        <v>124000</v>
      </c>
      <c r="H170" t="s">
        <v>107</v>
      </c>
      <c r="I170">
        <v>4.4000000000000004</v>
      </c>
      <c r="J170" t="s">
        <v>30</v>
      </c>
      <c r="K170">
        <v>4.0999999999999996</v>
      </c>
      <c r="L170" t="s">
        <v>265</v>
      </c>
      <c r="M170">
        <v>45622</v>
      </c>
      <c r="N170">
        <v>41</v>
      </c>
      <c r="O170" t="s">
        <v>51</v>
      </c>
      <c r="P170">
        <v>80.7</v>
      </c>
    </row>
    <row r="171" spans="1:16">
      <c r="A171">
        <v>170</v>
      </c>
      <c r="B171" t="s">
        <v>135</v>
      </c>
      <c r="C171" t="s">
        <v>196</v>
      </c>
      <c r="D171" t="s">
        <v>42</v>
      </c>
      <c r="E171" t="s">
        <v>28</v>
      </c>
      <c r="F171" t="s">
        <v>71</v>
      </c>
      <c r="G171">
        <v>111000</v>
      </c>
      <c r="H171" t="s">
        <v>88</v>
      </c>
      <c r="I171">
        <v>5</v>
      </c>
      <c r="J171" t="s">
        <v>22</v>
      </c>
      <c r="K171">
        <v>3.3</v>
      </c>
      <c r="L171" t="s">
        <v>266</v>
      </c>
      <c r="M171">
        <v>45638</v>
      </c>
      <c r="N171">
        <v>58</v>
      </c>
      <c r="O171" t="s">
        <v>57</v>
      </c>
      <c r="P171">
        <v>63.5</v>
      </c>
    </row>
    <row r="172" spans="1:16">
      <c r="A172">
        <v>171</v>
      </c>
      <c r="B172" t="s">
        <v>16</v>
      </c>
      <c r="C172" t="s">
        <v>87</v>
      </c>
      <c r="D172" t="s">
        <v>59</v>
      </c>
      <c r="E172" t="s">
        <v>28</v>
      </c>
      <c r="F172" t="s">
        <v>20</v>
      </c>
      <c r="G172">
        <v>134000</v>
      </c>
      <c r="H172" t="s">
        <v>101</v>
      </c>
      <c r="I172">
        <v>3.1</v>
      </c>
      <c r="J172" t="s">
        <v>30</v>
      </c>
      <c r="K172">
        <v>4.5999999999999996</v>
      </c>
      <c r="L172" t="s">
        <v>176</v>
      </c>
      <c r="M172">
        <v>45616</v>
      </c>
      <c r="N172">
        <v>49</v>
      </c>
      <c r="O172" t="s">
        <v>51</v>
      </c>
      <c r="P172">
        <v>35.9</v>
      </c>
    </row>
    <row r="173" spans="1:16">
      <c r="A173">
        <v>172</v>
      </c>
      <c r="B173" t="s">
        <v>79</v>
      </c>
      <c r="C173" t="s">
        <v>117</v>
      </c>
      <c r="D173" t="s">
        <v>18</v>
      </c>
      <c r="E173" t="s">
        <v>36</v>
      </c>
      <c r="F173" t="s">
        <v>37</v>
      </c>
      <c r="G173">
        <v>129000</v>
      </c>
      <c r="H173" t="s">
        <v>30</v>
      </c>
      <c r="I173">
        <v>1.7</v>
      </c>
      <c r="J173" t="s">
        <v>61</v>
      </c>
      <c r="K173">
        <v>3.8</v>
      </c>
      <c r="L173" t="s">
        <v>267</v>
      </c>
      <c r="M173">
        <v>45639</v>
      </c>
      <c r="N173">
        <v>58</v>
      </c>
      <c r="O173" t="s">
        <v>51</v>
      </c>
      <c r="P173">
        <v>25.4</v>
      </c>
    </row>
    <row r="174" spans="1:16">
      <c r="A174">
        <v>173</v>
      </c>
      <c r="B174" t="s">
        <v>106</v>
      </c>
      <c r="C174" t="s">
        <v>115</v>
      </c>
      <c r="D174" t="s">
        <v>59</v>
      </c>
      <c r="E174" t="s">
        <v>19</v>
      </c>
      <c r="F174" t="s">
        <v>43</v>
      </c>
      <c r="G174">
        <v>123000</v>
      </c>
      <c r="H174" t="s">
        <v>88</v>
      </c>
      <c r="I174">
        <v>5.4</v>
      </c>
      <c r="J174" t="s">
        <v>22</v>
      </c>
      <c r="K174">
        <v>3.9</v>
      </c>
      <c r="L174" t="s">
        <v>268</v>
      </c>
      <c r="M174">
        <v>45699</v>
      </c>
      <c r="N174">
        <v>34</v>
      </c>
      <c r="O174" t="s">
        <v>39</v>
      </c>
      <c r="P174">
        <v>84.3</v>
      </c>
    </row>
    <row r="175" spans="1:16">
      <c r="A175">
        <v>174</v>
      </c>
      <c r="B175" t="s">
        <v>95</v>
      </c>
      <c r="C175" t="s">
        <v>74</v>
      </c>
      <c r="D175" t="s">
        <v>98</v>
      </c>
      <c r="E175" t="s">
        <v>19</v>
      </c>
      <c r="F175" t="s">
        <v>20</v>
      </c>
      <c r="G175">
        <v>142000</v>
      </c>
      <c r="H175" t="s">
        <v>131</v>
      </c>
      <c r="I175">
        <v>7.6</v>
      </c>
      <c r="J175" t="s">
        <v>30</v>
      </c>
      <c r="K175">
        <v>3.7</v>
      </c>
      <c r="L175" t="s">
        <v>269</v>
      </c>
      <c r="M175">
        <v>45832</v>
      </c>
      <c r="N175">
        <v>53</v>
      </c>
      <c r="O175" t="s">
        <v>57</v>
      </c>
      <c r="P175">
        <v>33.6</v>
      </c>
    </row>
    <row r="176" spans="1:16">
      <c r="A176">
        <v>175</v>
      </c>
      <c r="B176" t="s">
        <v>69</v>
      </c>
      <c r="C176" t="s">
        <v>26</v>
      </c>
      <c r="D176" t="s">
        <v>42</v>
      </c>
      <c r="E176" t="s">
        <v>36</v>
      </c>
      <c r="F176" t="s">
        <v>20</v>
      </c>
      <c r="G176">
        <v>105000</v>
      </c>
      <c r="H176" t="s">
        <v>60</v>
      </c>
      <c r="I176">
        <v>1.2</v>
      </c>
      <c r="J176" t="s">
        <v>22</v>
      </c>
      <c r="K176">
        <v>3.9</v>
      </c>
      <c r="L176" t="s">
        <v>270</v>
      </c>
      <c r="M176">
        <v>45690</v>
      </c>
      <c r="N176">
        <v>49</v>
      </c>
      <c r="O176" t="s">
        <v>57</v>
      </c>
      <c r="P176">
        <v>38</v>
      </c>
    </row>
    <row r="177" spans="1:16">
      <c r="A177">
        <v>176</v>
      </c>
      <c r="B177" t="s">
        <v>25</v>
      </c>
      <c r="C177" t="s">
        <v>87</v>
      </c>
      <c r="D177" t="s">
        <v>42</v>
      </c>
      <c r="E177" t="s">
        <v>36</v>
      </c>
      <c r="F177" t="s">
        <v>20</v>
      </c>
      <c r="G177">
        <v>142000</v>
      </c>
      <c r="H177" t="s">
        <v>30</v>
      </c>
      <c r="I177">
        <v>0.3</v>
      </c>
      <c r="J177" t="s">
        <v>61</v>
      </c>
      <c r="K177">
        <v>4.5</v>
      </c>
      <c r="L177" t="s">
        <v>271</v>
      </c>
      <c r="M177">
        <v>45509</v>
      </c>
      <c r="N177">
        <v>38</v>
      </c>
      <c r="O177" t="s">
        <v>24</v>
      </c>
      <c r="P177">
        <v>-4.2</v>
      </c>
    </row>
    <row r="178" spans="1:16">
      <c r="A178">
        <v>177</v>
      </c>
      <c r="B178" t="s">
        <v>16</v>
      </c>
      <c r="C178" t="s">
        <v>100</v>
      </c>
      <c r="D178" t="s">
        <v>59</v>
      </c>
      <c r="E178" t="s">
        <v>19</v>
      </c>
      <c r="F178" t="s">
        <v>37</v>
      </c>
      <c r="G178">
        <v>176000</v>
      </c>
      <c r="H178" t="s">
        <v>60</v>
      </c>
      <c r="I178">
        <v>8.6999999999999993</v>
      </c>
      <c r="J178" t="s">
        <v>30</v>
      </c>
      <c r="K178">
        <v>3.9</v>
      </c>
      <c r="L178" t="s">
        <v>272</v>
      </c>
      <c r="M178">
        <v>45537</v>
      </c>
      <c r="N178">
        <v>42</v>
      </c>
      <c r="O178" t="s">
        <v>32</v>
      </c>
      <c r="P178">
        <v>26.6</v>
      </c>
    </row>
    <row r="179" spans="1:16">
      <c r="A179">
        <v>178</v>
      </c>
      <c r="B179" t="s">
        <v>95</v>
      </c>
      <c r="C179" t="s">
        <v>117</v>
      </c>
      <c r="D179" t="s">
        <v>98</v>
      </c>
      <c r="E179" t="s">
        <v>28</v>
      </c>
      <c r="F179" t="s">
        <v>20</v>
      </c>
      <c r="G179">
        <v>114000</v>
      </c>
      <c r="H179" t="s">
        <v>49</v>
      </c>
      <c r="I179">
        <v>3.7</v>
      </c>
      <c r="J179" t="s">
        <v>22</v>
      </c>
      <c r="K179">
        <v>4.2</v>
      </c>
      <c r="L179" t="s">
        <v>273</v>
      </c>
      <c r="M179">
        <v>45739</v>
      </c>
      <c r="N179">
        <v>43</v>
      </c>
      <c r="O179" t="s">
        <v>24</v>
      </c>
      <c r="P179">
        <v>12</v>
      </c>
    </row>
    <row r="180" spans="1:16">
      <c r="A180">
        <v>179</v>
      </c>
      <c r="B180" t="s">
        <v>95</v>
      </c>
      <c r="C180" t="s">
        <v>41</v>
      </c>
      <c r="D180" t="s">
        <v>18</v>
      </c>
      <c r="E180" t="s">
        <v>28</v>
      </c>
      <c r="F180" t="s">
        <v>20</v>
      </c>
      <c r="G180">
        <v>116000</v>
      </c>
      <c r="H180" t="s">
        <v>49</v>
      </c>
      <c r="I180">
        <v>3.5</v>
      </c>
      <c r="J180" t="s">
        <v>30</v>
      </c>
      <c r="K180">
        <v>4.0999999999999996</v>
      </c>
      <c r="L180" t="s">
        <v>274</v>
      </c>
      <c r="M180">
        <v>45672</v>
      </c>
      <c r="N180">
        <v>60</v>
      </c>
      <c r="O180" t="s">
        <v>24</v>
      </c>
      <c r="P180">
        <v>32.9</v>
      </c>
    </row>
    <row r="181" spans="1:16">
      <c r="A181">
        <v>180</v>
      </c>
      <c r="B181" t="s">
        <v>135</v>
      </c>
      <c r="C181" t="s">
        <v>152</v>
      </c>
      <c r="D181" t="s">
        <v>98</v>
      </c>
      <c r="E181" t="s">
        <v>75</v>
      </c>
      <c r="F181" t="s">
        <v>71</v>
      </c>
      <c r="G181">
        <v>120000</v>
      </c>
      <c r="H181" t="s">
        <v>29</v>
      </c>
      <c r="I181">
        <v>9.9</v>
      </c>
      <c r="J181" t="s">
        <v>30</v>
      </c>
      <c r="K181">
        <v>3.4</v>
      </c>
      <c r="L181" t="s">
        <v>275</v>
      </c>
      <c r="M181">
        <v>45620</v>
      </c>
      <c r="N181">
        <v>45</v>
      </c>
      <c r="O181" t="s">
        <v>24</v>
      </c>
      <c r="P181">
        <v>64</v>
      </c>
    </row>
    <row r="182" spans="1:16">
      <c r="A182">
        <v>181</v>
      </c>
      <c r="B182" t="s">
        <v>95</v>
      </c>
      <c r="C182" t="s">
        <v>26</v>
      </c>
      <c r="D182" t="s">
        <v>27</v>
      </c>
      <c r="E182" t="s">
        <v>36</v>
      </c>
      <c r="F182" t="s">
        <v>20</v>
      </c>
      <c r="G182">
        <v>112000</v>
      </c>
      <c r="H182" t="s">
        <v>60</v>
      </c>
      <c r="I182">
        <v>0.6</v>
      </c>
      <c r="J182" t="s">
        <v>30</v>
      </c>
      <c r="K182">
        <v>4</v>
      </c>
      <c r="L182" t="s">
        <v>276</v>
      </c>
      <c r="M182">
        <v>45641</v>
      </c>
      <c r="N182">
        <v>30</v>
      </c>
      <c r="O182" t="s">
        <v>24</v>
      </c>
      <c r="P182">
        <v>52.1</v>
      </c>
    </row>
    <row r="183" spans="1:16">
      <c r="A183">
        <v>182</v>
      </c>
      <c r="B183" t="s">
        <v>33</v>
      </c>
      <c r="C183" t="s">
        <v>111</v>
      </c>
      <c r="D183" t="s">
        <v>42</v>
      </c>
      <c r="E183" t="s">
        <v>19</v>
      </c>
      <c r="F183" t="s">
        <v>37</v>
      </c>
      <c r="G183">
        <v>143000</v>
      </c>
      <c r="H183" t="s">
        <v>88</v>
      </c>
      <c r="I183">
        <v>6</v>
      </c>
      <c r="J183" t="s">
        <v>22</v>
      </c>
      <c r="K183">
        <v>3.2</v>
      </c>
      <c r="L183" t="s">
        <v>277</v>
      </c>
      <c r="M183">
        <v>45563</v>
      </c>
      <c r="N183">
        <v>12</v>
      </c>
      <c r="O183" t="s">
        <v>39</v>
      </c>
      <c r="P183">
        <v>58.7</v>
      </c>
    </row>
    <row r="184" spans="1:16">
      <c r="A184">
        <v>183</v>
      </c>
      <c r="B184" t="s">
        <v>73</v>
      </c>
      <c r="C184" t="s">
        <v>63</v>
      </c>
      <c r="D184" t="s">
        <v>98</v>
      </c>
      <c r="E184" t="s">
        <v>75</v>
      </c>
      <c r="F184" t="s">
        <v>71</v>
      </c>
      <c r="G184">
        <v>234000</v>
      </c>
      <c r="H184" t="s">
        <v>44</v>
      </c>
      <c r="I184">
        <v>7.8</v>
      </c>
      <c r="J184" t="s">
        <v>30</v>
      </c>
      <c r="K184">
        <v>4.5999999999999996</v>
      </c>
      <c r="L184" t="s">
        <v>278</v>
      </c>
      <c r="M184">
        <v>45645</v>
      </c>
      <c r="N184">
        <v>56</v>
      </c>
      <c r="O184" t="s">
        <v>32</v>
      </c>
      <c r="P184">
        <v>19.5</v>
      </c>
    </row>
    <row r="185" spans="1:16">
      <c r="A185">
        <v>184</v>
      </c>
      <c r="B185" t="s">
        <v>69</v>
      </c>
      <c r="C185" t="s">
        <v>93</v>
      </c>
      <c r="D185" t="s">
        <v>42</v>
      </c>
      <c r="E185" t="s">
        <v>75</v>
      </c>
      <c r="F185" t="s">
        <v>20</v>
      </c>
      <c r="G185">
        <v>193000</v>
      </c>
      <c r="H185" t="s">
        <v>88</v>
      </c>
      <c r="I185">
        <v>9.5</v>
      </c>
      <c r="J185" t="s">
        <v>22</v>
      </c>
      <c r="K185">
        <v>3.7</v>
      </c>
      <c r="L185" t="s">
        <v>279</v>
      </c>
      <c r="M185">
        <v>45533</v>
      </c>
      <c r="N185">
        <v>19</v>
      </c>
      <c r="O185" t="s">
        <v>24</v>
      </c>
      <c r="P185">
        <v>-4.8</v>
      </c>
    </row>
    <row r="186" spans="1:16">
      <c r="A186">
        <v>185</v>
      </c>
      <c r="B186" t="s">
        <v>33</v>
      </c>
      <c r="C186" t="s">
        <v>129</v>
      </c>
      <c r="D186" t="s">
        <v>18</v>
      </c>
      <c r="E186" t="s">
        <v>28</v>
      </c>
      <c r="F186" t="s">
        <v>20</v>
      </c>
      <c r="G186">
        <v>133000</v>
      </c>
      <c r="H186" t="s">
        <v>84</v>
      </c>
      <c r="I186">
        <v>4.8</v>
      </c>
      <c r="J186" t="s">
        <v>30</v>
      </c>
      <c r="K186">
        <v>4.9000000000000004</v>
      </c>
      <c r="L186" t="s">
        <v>280</v>
      </c>
      <c r="M186">
        <v>45809</v>
      </c>
      <c r="N186">
        <v>31</v>
      </c>
      <c r="O186" t="s">
        <v>57</v>
      </c>
      <c r="P186">
        <v>24</v>
      </c>
    </row>
    <row r="187" spans="1:16">
      <c r="A187">
        <v>186</v>
      </c>
      <c r="B187" t="s">
        <v>95</v>
      </c>
      <c r="C187" t="s">
        <v>201</v>
      </c>
      <c r="D187" t="s">
        <v>54</v>
      </c>
      <c r="E187" t="s">
        <v>19</v>
      </c>
      <c r="F187" t="s">
        <v>37</v>
      </c>
      <c r="G187">
        <v>162000</v>
      </c>
      <c r="H187" t="s">
        <v>30</v>
      </c>
      <c r="I187">
        <v>5.5</v>
      </c>
      <c r="J187" t="s">
        <v>30</v>
      </c>
      <c r="K187">
        <v>3.1</v>
      </c>
      <c r="L187" t="s">
        <v>281</v>
      </c>
      <c r="M187">
        <v>45679</v>
      </c>
      <c r="N187">
        <v>9</v>
      </c>
      <c r="O187" t="s">
        <v>32</v>
      </c>
      <c r="P187">
        <v>72.900000000000006</v>
      </c>
    </row>
    <row r="188" spans="1:16">
      <c r="A188">
        <v>187</v>
      </c>
      <c r="B188" t="s">
        <v>40</v>
      </c>
      <c r="C188" t="s">
        <v>129</v>
      </c>
      <c r="D188" t="s">
        <v>35</v>
      </c>
      <c r="E188" t="s">
        <v>19</v>
      </c>
      <c r="F188" t="s">
        <v>20</v>
      </c>
      <c r="G188">
        <v>174000</v>
      </c>
      <c r="H188" t="s">
        <v>29</v>
      </c>
      <c r="I188">
        <v>6.5</v>
      </c>
      <c r="J188" t="s">
        <v>30</v>
      </c>
      <c r="K188">
        <v>4.5999999999999996</v>
      </c>
      <c r="L188" t="s">
        <v>282</v>
      </c>
      <c r="M188">
        <v>45726</v>
      </c>
      <c r="N188">
        <v>54</v>
      </c>
      <c r="O188" t="s">
        <v>57</v>
      </c>
      <c r="P188">
        <v>60.9</v>
      </c>
    </row>
    <row r="189" spans="1:16">
      <c r="A189">
        <v>188</v>
      </c>
      <c r="B189" t="s">
        <v>135</v>
      </c>
      <c r="C189" t="s">
        <v>113</v>
      </c>
      <c r="D189" t="s">
        <v>48</v>
      </c>
      <c r="E189" t="s">
        <v>28</v>
      </c>
      <c r="F189" t="s">
        <v>20</v>
      </c>
      <c r="G189">
        <v>111000</v>
      </c>
      <c r="H189" t="s">
        <v>29</v>
      </c>
      <c r="I189">
        <v>2.7</v>
      </c>
      <c r="J189" t="s">
        <v>30</v>
      </c>
      <c r="K189">
        <v>4.7</v>
      </c>
      <c r="L189" t="s">
        <v>283</v>
      </c>
      <c r="M189">
        <v>45810</v>
      </c>
      <c r="N189">
        <v>29</v>
      </c>
      <c r="O189" t="s">
        <v>51</v>
      </c>
      <c r="P189">
        <v>4.4000000000000004</v>
      </c>
    </row>
    <row r="190" spans="1:16">
      <c r="A190">
        <v>189</v>
      </c>
      <c r="B190" t="s">
        <v>135</v>
      </c>
      <c r="C190" t="s">
        <v>91</v>
      </c>
      <c r="D190" t="s">
        <v>27</v>
      </c>
      <c r="E190" t="s">
        <v>75</v>
      </c>
      <c r="F190" t="s">
        <v>71</v>
      </c>
      <c r="G190">
        <v>125000</v>
      </c>
      <c r="H190" t="s">
        <v>44</v>
      </c>
      <c r="I190">
        <v>7.5</v>
      </c>
      <c r="J190" t="s">
        <v>61</v>
      </c>
      <c r="K190">
        <v>4.8</v>
      </c>
      <c r="L190" t="s">
        <v>284</v>
      </c>
      <c r="M190">
        <v>45771</v>
      </c>
      <c r="N190">
        <v>11</v>
      </c>
      <c r="O190" t="s">
        <v>24</v>
      </c>
      <c r="P190">
        <v>7</v>
      </c>
    </row>
    <row r="191" spans="1:16">
      <c r="A191">
        <v>190</v>
      </c>
      <c r="B191" t="s">
        <v>33</v>
      </c>
      <c r="C191" t="s">
        <v>87</v>
      </c>
      <c r="D191" t="s">
        <v>42</v>
      </c>
      <c r="E191" t="s">
        <v>64</v>
      </c>
      <c r="F191" t="s">
        <v>20</v>
      </c>
      <c r="G191">
        <v>200000</v>
      </c>
      <c r="H191" t="s">
        <v>60</v>
      </c>
      <c r="I191">
        <v>11.9</v>
      </c>
      <c r="J191" t="s">
        <v>30</v>
      </c>
      <c r="K191">
        <v>3.6</v>
      </c>
      <c r="L191" t="s">
        <v>285</v>
      </c>
      <c r="M191">
        <v>45636</v>
      </c>
      <c r="N191">
        <v>33</v>
      </c>
      <c r="O191" t="s">
        <v>51</v>
      </c>
      <c r="P191">
        <v>16</v>
      </c>
    </row>
    <row r="192" spans="1:16">
      <c r="A192">
        <v>191</v>
      </c>
      <c r="B192" t="s">
        <v>25</v>
      </c>
      <c r="C192" t="s">
        <v>115</v>
      </c>
      <c r="D192" t="s">
        <v>42</v>
      </c>
      <c r="E192" t="s">
        <v>28</v>
      </c>
      <c r="F192" t="s">
        <v>20</v>
      </c>
      <c r="G192">
        <v>184000</v>
      </c>
      <c r="H192" t="s">
        <v>55</v>
      </c>
      <c r="I192">
        <v>2.9</v>
      </c>
      <c r="J192" t="s">
        <v>30</v>
      </c>
      <c r="K192">
        <v>3.7</v>
      </c>
      <c r="L192" t="s">
        <v>286</v>
      </c>
      <c r="M192">
        <v>45609</v>
      </c>
      <c r="N192">
        <v>59</v>
      </c>
      <c r="O192" t="s">
        <v>39</v>
      </c>
      <c r="P192">
        <v>3.1</v>
      </c>
    </row>
    <row r="193" spans="1:16">
      <c r="A193">
        <v>192</v>
      </c>
      <c r="B193" t="s">
        <v>40</v>
      </c>
      <c r="C193" t="s">
        <v>152</v>
      </c>
      <c r="D193" t="s">
        <v>35</v>
      </c>
      <c r="E193" t="s">
        <v>64</v>
      </c>
      <c r="F193" t="s">
        <v>20</v>
      </c>
      <c r="G193">
        <v>213000</v>
      </c>
      <c r="H193" t="s">
        <v>60</v>
      </c>
      <c r="I193">
        <v>10.7</v>
      </c>
      <c r="J193" t="s">
        <v>30</v>
      </c>
      <c r="K193">
        <v>3.7</v>
      </c>
      <c r="L193" t="s">
        <v>287</v>
      </c>
      <c r="M193">
        <v>45489</v>
      </c>
      <c r="N193">
        <v>65</v>
      </c>
      <c r="O193" t="s">
        <v>32</v>
      </c>
      <c r="P193">
        <v>71.900000000000006</v>
      </c>
    </row>
    <row r="194" spans="1:16">
      <c r="A194">
        <v>193</v>
      </c>
      <c r="B194" t="s">
        <v>135</v>
      </c>
      <c r="C194" t="s">
        <v>143</v>
      </c>
      <c r="D194" t="s">
        <v>48</v>
      </c>
      <c r="E194" t="s">
        <v>36</v>
      </c>
      <c r="F194" t="s">
        <v>20</v>
      </c>
      <c r="G194">
        <v>76000</v>
      </c>
      <c r="H194" t="s">
        <v>21</v>
      </c>
      <c r="I194">
        <v>0</v>
      </c>
      <c r="J194" t="s">
        <v>61</v>
      </c>
      <c r="K194">
        <v>5</v>
      </c>
      <c r="L194" t="s">
        <v>288</v>
      </c>
      <c r="M194">
        <v>45664</v>
      </c>
      <c r="N194">
        <v>48</v>
      </c>
      <c r="O194" t="s">
        <v>39</v>
      </c>
      <c r="P194">
        <v>47.4</v>
      </c>
    </row>
    <row r="195" spans="1:16">
      <c r="A195">
        <v>194</v>
      </c>
      <c r="B195" t="s">
        <v>66</v>
      </c>
      <c r="C195" t="s">
        <v>201</v>
      </c>
      <c r="D195" t="s">
        <v>42</v>
      </c>
      <c r="E195" t="s">
        <v>36</v>
      </c>
      <c r="F195" t="s">
        <v>71</v>
      </c>
      <c r="G195">
        <v>103000</v>
      </c>
      <c r="H195" t="s">
        <v>55</v>
      </c>
      <c r="I195">
        <v>1.6</v>
      </c>
      <c r="J195" t="s">
        <v>30</v>
      </c>
      <c r="K195">
        <v>4.7</v>
      </c>
      <c r="L195" t="s">
        <v>289</v>
      </c>
      <c r="M195">
        <v>45560</v>
      </c>
      <c r="N195">
        <v>64</v>
      </c>
      <c r="O195" t="s">
        <v>24</v>
      </c>
      <c r="P195">
        <v>34</v>
      </c>
    </row>
    <row r="196" spans="1:16">
      <c r="A196">
        <v>195</v>
      </c>
      <c r="B196" t="s">
        <v>73</v>
      </c>
      <c r="C196" t="s">
        <v>87</v>
      </c>
      <c r="D196" t="s">
        <v>59</v>
      </c>
      <c r="E196" t="s">
        <v>36</v>
      </c>
      <c r="F196" t="s">
        <v>20</v>
      </c>
      <c r="G196">
        <v>138000</v>
      </c>
      <c r="H196" t="s">
        <v>104</v>
      </c>
      <c r="I196">
        <v>0.7</v>
      </c>
      <c r="J196" t="s">
        <v>61</v>
      </c>
      <c r="K196">
        <v>3.5</v>
      </c>
      <c r="L196" t="s">
        <v>290</v>
      </c>
      <c r="M196">
        <v>45791</v>
      </c>
      <c r="N196">
        <v>44</v>
      </c>
      <c r="O196" t="s">
        <v>57</v>
      </c>
      <c r="P196">
        <v>53.3</v>
      </c>
    </row>
    <row r="197" spans="1:16">
      <c r="A197">
        <v>196</v>
      </c>
      <c r="B197" t="s">
        <v>79</v>
      </c>
      <c r="C197" t="s">
        <v>97</v>
      </c>
      <c r="D197" t="s">
        <v>59</v>
      </c>
      <c r="E197" t="s">
        <v>36</v>
      </c>
      <c r="F197" t="s">
        <v>20</v>
      </c>
      <c r="G197">
        <v>126000</v>
      </c>
      <c r="H197" t="s">
        <v>60</v>
      </c>
      <c r="I197">
        <v>0.8</v>
      </c>
      <c r="J197" t="s">
        <v>22</v>
      </c>
      <c r="K197">
        <v>4.5999999999999996</v>
      </c>
      <c r="L197" t="s">
        <v>291</v>
      </c>
      <c r="M197">
        <v>45483</v>
      </c>
      <c r="N197">
        <v>29</v>
      </c>
      <c r="O197" t="s">
        <v>51</v>
      </c>
      <c r="P197">
        <v>38.200000000000003</v>
      </c>
    </row>
    <row r="198" spans="1:16">
      <c r="A198">
        <v>197</v>
      </c>
      <c r="B198" t="s">
        <v>40</v>
      </c>
      <c r="C198" t="s">
        <v>83</v>
      </c>
      <c r="D198" t="s">
        <v>54</v>
      </c>
      <c r="E198" t="s">
        <v>64</v>
      </c>
      <c r="F198" t="s">
        <v>20</v>
      </c>
      <c r="G198">
        <v>218000</v>
      </c>
      <c r="H198" t="s">
        <v>44</v>
      </c>
      <c r="I198">
        <v>11.4</v>
      </c>
      <c r="J198" t="s">
        <v>30</v>
      </c>
      <c r="K198">
        <v>3.4</v>
      </c>
      <c r="L198" t="s">
        <v>292</v>
      </c>
      <c r="M198">
        <v>45657</v>
      </c>
      <c r="N198">
        <v>54</v>
      </c>
      <c r="O198" t="s">
        <v>24</v>
      </c>
      <c r="P198">
        <v>85</v>
      </c>
    </row>
    <row r="199" spans="1:16">
      <c r="A199">
        <v>198</v>
      </c>
      <c r="B199" t="s">
        <v>46</v>
      </c>
      <c r="C199" t="s">
        <v>17</v>
      </c>
      <c r="D199" t="s">
        <v>48</v>
      </c>
      <c r="E199" t="s">
        <v>28</v>
      </c>
      <c r="F199" t="s">
        <v>20</v>
      </c>
      <c r="G199">
        <v>143000</v>
      </c>
      <c r="H199" t="s">
        <v>88</v>
      </c>
      <c r="I199">
        <v>4.3</v>
      </c>
      <c r="J199" t="s">
        <v>61</v>
      </c>
      <c r="K199">
        <v>4.2</v>
      </c>
      <c r="L199" t="s">
        <v>293</v>
      </c>
      <c r="M199">
        <v>45595</v>
      </c>
      <c r="N199">
        <v>42</v>
      </c>
      <c r="O199" t="s">
        <v>51</v>
      </c>
      <c r="P199">
        <v>67.599999999999994</v>
      </c>
    </row>
    <row r="200" spans="1:16">
      <c r="A200">
        <v>199</v>
      </c>
      <c r="B200" t="s">
        <v>73</v>
      </c>
      <c r="C200" t="s">
        <v>34</v>
      </c>
      <c r="D200" t="s">
        <v>18</v>
      </c>
      <c r="E200" t="s">
        <v>19</v>
      </c>
      <c r="F200" t="s">
        <v>71</v>
      </c>
      <c r="G200">
        <v>206000</v>
      </c>
      <c r="H200" t="s">
        <v>60</v>
      </c>
      <c r="I200">
        <v>7.3</v>
      </c>
      <c r="J200" t="s">
        <v>30</v>
      </c>
      <c r="K200">
        <v>5</v>
      </c>
      <c r="L200" t="s">
        <v>294</v>
      </c>
      <c r="M200">
        <v>45493</v>
      </c>
      <c r="N200">
        <v>10</v>
      </c>
      <c r="O200" t="s">
        <v>39</v>
      </c>
      <c r="P200">
        <v>15.9</v>
      </c>
    </row>
    <row r="201" spans="1:16">
      <c r="A201">
        <v>200</v>
      </c>
      <c r="B201" t="s">
        <v>25</v>
      </c>
      <c r="C201" t="s">
        <v>63</v>
      </c>
      <c r="D201" t="s">
        <v>59</v>
      </c>
      <c r="E201" t="s">
        <v>36</v>
      </c>
      <c r="F201" t="s">
        <v>20</v>
      </c>
      <c r="G201">
        <v>154000</v>
      </c>
      <c r="H201" t="s">
        <v>107</v>
      </c>
      <c r="I201">
        <v>1.6</v>
      </c>
      <c r="J201" t="s">
        <v>30</v>
      </c>
      <c r="K201">
        <v>3.4</v>
      </c>
      <c r="L201" t="s">
        <v>295</v>
      </c>
      <c r="M201">
        <v>45834</v>
      </c>
      <c r="N201">
        <v>63</v>
      </c>
      <c r="O201" t="s">
        <v>57</v>
      </c>
      <c r="P201">
        <v>64.7</v>
      </c>
    </row>
  </sheetData>
  <autoFilter ref="A1:P201" xr:uid="{51694475-6EDF-4056-A381-9846AF85CE5D}"/>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8DBD8F-99D6-4C31-B312-C78ACB81911C}">
  <dimension ref="A3:B19"/>
  <sheetViews>
    <sheetView workbookViewId="0">
      <selection activeCell="C14" sqref="C14"/>
    </sheetView>
  </sheetViews>
  <sheetFormatPr defaultRowHeight="14.4"/>
  <cols>
    <col min="1" max="1" width="22.21875" bestFit="1" customWidth="1"/>
    <col min="2" max="3" width="17.77734375" bestFit="1" customWidth="1"/>
  </cols>
  <sheetData>
    <row r="3" spans="1:2">
      <c r="A3" s="3" t="s">
        <v>297</v>
      </c>
      <c r="B3" t="s">
        <v>296</v>
      </c>
    </row>
    <row r="4" spans="1:2">
      <c r="A4" s="4" t="s">
        <v>135</v>
      </c>
      <c r="B4" s="2">
        <v>731013</v>
      </c>
    </row>
    <row r="5" spans="1:2">
      <c r="A5" s="4" t="s">
        <v>77</v>
      </c>
      <c r="B5" s="2">
        <v>365692</v>
      </c>
    </row>
    <row r="6" spans="1:2">
      <c r="A6" s="4" t="s">
        <v>52</v>
      </c>
      <c r="B6" s="2">
        <v>502279</v>
      </c>
    </row>
    <row r="7" spans="1:2">
      <c r="A7" s="4" t="s">
        <v>79</v>
      </c>
      <c r="B7" s="2">
        <v>822093</v>
      </c>
    </row>
    <row r="8" spans="1:2">
      <c r="A8" s="4" t="s">
        <v>25</v>
      </c>
      <c r="B8" s="2">
        <v>912398</v>
      </c>
    </row>
    <row r="9" spans="1:2">
      <c r="A9" s="4" t="s">
        <v>73</v>
      </c>
      <c r="B9" s="2">
        <v>731113</v>
      </c>
    </row>
    <row r="10" spans="1:2">
      <c r="A10" s="4" t="s">
        <v>109</v>
      </c>
      <c r="B10" s="2">
        <v>456259</v>
      </c>
    </row>
    <row r="11" spans="1:2">
      <c r="A11" s="4" t="s">
        <v>46</v>
      </c>
      <c r="B11" s="2">
        <v>502496</v>
      </c>
    </row>
    <row r="12" spans="1:2">
      <c r="A12" s="4" t="s">
        <v>40</v>
      </c>
      <c r="B12" s="2">
        <v>639570</v>
      </c>
    </row>
    <row r="13" spans="1:2">
      <c r="A13" s="4" t="s">
        <v>16</v>
      </c>
      <c r="B13" s="2">
        <v>592820</v>
      </c>
    </row>
    <row r="14" spans="1:2">
      <c r="A14" s="4" t="s">
        <v>69</v>
      </c>
      <c r="B14" s="2">
        <v>502245</v>
      </c>
    </row>
    <row r="15" spans="1:2">
      <c r="A15" s="4" t="s">
        <v>95</v>
      </c>
      <c r="B15" s="2">
        <v>1004572</v>
      </c>
    </row>
    <row r="16" spans="1:2">
      <c r="A16" s="4" t="s">
        <v>66</v>
      </c>
      <c r="B16" s="2">
        <v>410147</v>
      </c>
    </row>
    <row r="17" spans="1:2">
      <c r="A17" s="4" t="s">
        <v>106</v>
      </c>
      <c r="B17" s="2">
        <v>410763</v>
      </c>
    </row>
    <row r="18" spans="1:2">
      <c r="A18" s="4" t="s">
        <v>33</v>
      </c>
      <c r="B18" s="2">
        <v>548370</v>
      </c>
    </row>
    <row r="19" spans="1:2">
      <c r="A19" s="4" t="s">
        <v>298</v>
      </c>
      <c r="B19" s="2">
        <v>9131830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EAD629-71D8-4534-8C7C-7507DEBA90FB}">
  <dimension ref="A3:B19"/>
  <sheetViews>
    <sheetView workbookViewId="0">
      <selection activeCell="B28" sqref="B28"/>
    </sheetView>
  </sheetViews>
  <sheetFormatPr defaultRowHeight="14.4"/>
  <cols>
    <col min="1" max="1" width="22.21875" bestFit="1" customWidth="1"/>
    <col min="2" max="2" width="24.44140625" bestFit="1" customWidth="1"/>
  </cols>
  <sheetData>
    <row r="3" spans="1:2">
      <c r="A3" s="3" t="s">
        <v>297</v>
      </c>
      <c r="B3" t="s">
        <v>299</v>
      </c>
    </row>
    <row r="4" spans="1:2">
      <c r="A4" s="4" t="s">
        <v>135</v>
      </c>
      <c r="B4" s="2">
        <v>16</v>
      </c>
    </row>
    <row r="5" spans="1:2">
      <c r="A5" s="4" t="s">
        <v>77</v>
      </c>
      <c r="B5" s="2">
        <v>8</v>
      </c>
    </row>
    <row r="6" spans="1:2">
      <c r="A6" s="4" t="s">
        <v>52</v>
      </c>
      <c r="B6" s="2">
        <v>11</v>
      </c>
    </row>
    <row r="7" spans="1:2">
      <c r="A7" s="4" t="s">
        <v>79</v>
      </c>
      <c r="B7" s="2">
        <v>18</v>
      </c>
    </row>
    <row r="8" spans="1:2">
      <c r="A8" s="4" t="s">
        <v>25</v>
      </c>
      <c r="B8" s="2">
        <v>20</v>
      </c>
    </row>
    <row r="9" spans="1:2">
      <c r="A9" s="4" t="s">
        <v>73</v>
      </c>
      <c r="B9" s="2">
        <v>16</v>
      </c>
    </row>
    <row r="10" spans="1:2">
      <c r="A10" s="4" t="s">
        <v>109</v>
      </c>
      <c r="B10" s="2">
        <v>10</v>
      </c>
    </row>
    <row r="11" spans="1:2">
      <c r="A11" s="4" t="s">
        <v>46</v>
      </c>
      <c r="B11" s="2">
        <v>11</v>
      </c>
    </row>
    <row r="12" spans="1:2">
      <c r="A12" s="4" t="s">
        <v>40</v>
      </c>
      <c r="B12" s="2">
        <v>14</v>
      </c>
    </row>
    <row r="13" spans="1:2">
      <c r="A13" s="4" t="s">
        <v>16</v>
      </c>
      <c r="B13" s="2">
        <v>13</v>
      </c>
    </row>
    <row r="14" spans="1:2">
      <c r="A14" s="4" t="s">
        <v>69</v>
      </c>
      <c r="B14" s="2">
        <v>11</v>
      </c>
    </row>
    <row r="15" spans="1:2">
      <c r="A15" s="4" t="s">
        <v>95</v>
      </c>
      <c r="B15" s="2">
        <v>22</v>
      </c>
    </row>
    <row r="16" spans="1:2">
      <c r="A16" s="4" t="s">
        <v>66</v>
      </c>
      <c r="B16" s="2">
        <v>9</v>
      </c>
    </row>
    <row r="17" spans="1:2">
      <c r="A17" s="4" t="s">
        <v>106</v>
      </c>
      <c r="B17" s="2">
        <v>9</v>
      </c>
    </row>
    <row r="18" spans="1:2">
      <c r="A18" s="4" t="s">
        <v>33</v>
      </c>
      <c r="B18" s="2">
        <v>12</v>
      </c>
    </row>
    <row r="19" spans="1:2">
      <c r="A19" s="4" t="s">
        <v>298</v>
      </c>
      <c r="B19" s="2">
        <v>200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FE9F8F-4D9F-46FF-A486-2290A9AD7F02}">
  <dimension ref="A3:B19"/>
  <sheetViews>
    <sheetView workbookViewId="0">
      <selection activeCell="F23" sqref="F23"/>
    </sheetView>
  </sheetViews>
  <sheetFormatPr defaultRowHeight="14.4"/>
  <cols>
    <col min="1" max="1" width="22.21875" bestFit="1" customWidth="1"/>
    <col min="2" max="2" width="21.33203125" bestFit="1" customWidth="1"/>
  </cols>
  <sheetData>
    <row r="3" spans="1:2">
      <c r="A3" s="3" t="s">
        <v>297</v>
      </c>
      <c r="B3" t="s">
        <v>300</v>
      </c>
    </row>
    <row r="4" spans="1:2">
      <c r="A4" s="4" t="s">
        <v>135</v>
      </c>
      <c r="B4" s="2">
        <v>104062.5</v>
      </c>
    </row>
    <row r="5" spans="1:2">
      <c r="A5" s="4" t="s">
        <v>77</v>
      </c>
      <c r="B5" s="2">
        <v>148250</v>
      </c>
    </row>
    <row r="6" spans="1:2">
      <c r="A6" s="4" t="s">
        <v>52</v>
      </c>
      <c r="B6" s="2">
        <v>131090.90909090909</v>
      </c>
    </row>
    <row r="7" spans="1:2">
      <c r="A7" s="4" t="s">
        <v>79</v>
      </c>
      <c r="B7" s="2">
        <v>180833.33333333334</v>
      </c>
    </row>
    <row r="8" spans="1:2">
      <c r="A8" s="4" t="s">
        <v>25</v>
      </c>
      <c r="B8" s="2">
        <v>186250</v>
      </c>
    </row>
    <row r="9" spans="1:2">
      <c r="A9" s="4" t="s">
        <v>73</v>
      </c>
      <c r="B9" s="2">
        <v>209500</v>
      </c>
    </row>
    <row r="10" spans="1:2">
      <c r="A10" s="4" t="s">
        <v>109</v>
      </c>
      <c r="B10" s="2">
        <v>167100</v>
      </c>
    </row>
    <row r="11" spans="1:2">
      <c r="A11" s="4" t="s">
        <v>46</v>
      </c>
      <c r="B11" s="2">
        <v>123272.72727272728</v>
      </c>
    </row>
    <row r="12" spans="1:2">
      <c r="A12" s="4" t="s">
        <v>40</v>
      </c>
      <c r="B12" s="2">
        <v>177071.42857142858</v>
      </c>
    </row>
    <row r="13" spans="1:2">
      <c r="A13" s="4" t="s">
        <v>16</v>
      </c>
      <c r="B13" s="2">
        <v>151692.30769230769</v>
      </c>
    </row>
    <row r="14" spans="1:2">
      <c r="A14" s="4" t="s">
        <v>69</v>
      </c>
      <c r="B14" s="2">
        <v>165090.90909090909</v>
      </c>
    </row>
    <row r="15" spans="1:2">
      <c r="A15" s="4" t="s">
        <v>95</v>
      </c>
      <c r="B15" s="2">
        <v>139727.27272727274</v>
      </c>
    </row>
    <row r="16" spans="1:2">
      <c r="A16" s="4" t="s">
        <v>66</v>
      </c>
      <c r="B16" s="2">
        <v>158555.55555555556</v>
      </c>
    </row>
    <row r="17" spans="1:2">
      <c r="A17" s="4" t="s">
        <v>106</v>
      </c>
      <c r="B17" s="2">
        <v>150000</v>
      </c>
    </row>
    <row r="18" spans="1:2">
      <c r="A18" s="4" t="s">
        <v>33</v>
      </c>
      <c r="B18" s="2">
        <v>143833.33333333334</v>
      </c>
    </row>
    <row r="19" spans="1:2">
      <c r="A19" s="4" t="s">
        <v>298</v>
      </c>
      <c r="B19" s="2">
        <v>157480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754E98-FAD6-4864-ACA7-50EE5D000C51}">
  <dimension ref="A3:B19"/>
  <sheetViews>
    <sheetView workbookViewId="0">
      <selection activeCell="C26" sqref="C26"/>
    </sheetView>
  </sheetViews>
  <sheetFormatPr defaultRowHeight="14.4"/>
  <cols>
    <col min="1" max="1" width="22.21875" bestFit="1" customWidth="1"/>
    <col min="2" max="2" width="14.21875" bestFit="1" customWidth="1"/>
  </cols>
  <sheetData>
    <row r="3" spans="1:2">
      <c r="A3" s="3" t="s">
        <v>297</v>
      </c>
      <c r="B3" t="s">
        <v>301</v>
      </c>
    </row>
    <row r="4" spans="1:2">
      <c r="A4" s="4" t="s">
        <v>135</v>
      </c>
      <c r="B4" s="2">
        <v>16</v>
      </c>
    </row>
    <row r="5" spans="1:2">
      <c r="A5" s="4" t="s">
        <v>77</v>
      </c>
      <c r="B5" s="2">
        <v>8</v>
      </c>
    </row>
    <row r="6" spans="1:2">
      <c r="A6" s="4" t="s">
        <v>52</v>
      </c>
      <c r="B6" s="2">
        <v>11</v>
      </c>
    </row>
    <row r="7" spans="1:2">
      <c r="A7" s="4" t="s">
        <v>79</v>
      </c>
      <c r="B7" s="2">
        <v>18</v>
      </c>
    </row>
    <row r="8" spans="1:2">
      <c r="A8" s="4" t="s">
        <v>25</v>
      </c>
      <c r="B8" s="2">
        <v>20</v>
      </c>
    </row>
    <row r="9" spans="1:2">
      <c r="A9" s="4" t="s">
        <v>73</v>
      </c>
      <c r="B9" s="2">
        <v>16</v>
      </c>
    </row>
    <row r="10" spans="1:2">
      <c r="A10" s="4" t="s">
        <v>109</v>
      </c>
      <c r="B10" s="2">
        <v>10</v>
      </c>
    </row>
    <row r="11" spans="1:2">
      <c r="A11" s="4" t="s">
        <v>46</v>
      </c>
      <c r="B11" s="2">
        <v>11</v>
      </c>
    </row>
    <row r="12" spans="1:2">
      <c r="A12" s="4" t="s">
        <v>40</v>
      </c>
      <c r="B12" s="2">
        <v>14</v>
      </c>
    </row>
    <row r="13" spans="1:2">
      <c r="A13" s="4" t="s">
        <v>16</v>
      </c>
      <c r="B13" s="2">
        <v>13</v>
      </c>
    </row>
    <row r="14" spans="1:2">
      <c r="A14" s="4" t="s">
        <v>69</v>
      </c>
      <c r="B14" s="2">
        <v>11</v>
      </c>
    </row>
    <row r="15" spans="1:2">
      <c r="A15" s="4" t="s">
        <v>95</v>
      </c>
      <c r="B15" s="2">
        <v>22</v>
      </c>
    </row>
    <row r="16" spans="1:2">
      <c r="A16" s="4" t="s">
        <v>66</v>
      </c>
      <c r="B16" s="2">
        <v>9</v>
      </c>
    </row>
    <row r="17" spans="1:2">
      <c r="A17" s="4" t="s">
        <v>106</v>
      </c>
      <c r="B17" s="2">
        <v>9</v>
      </c>
    </row>
    <row r="18" spans="1:2">
      <c r="A18" s="4" t="s">
        <v>33</v>
      </c>
      <c r="B18" s="2">
        <v>12</v>
      </c>
    </row>
    <row r="19" spans="1:2">
      <c r="A19" s="4" t="s">
        <v>298</v>
      </c>
      <c r="B19" s="2">
        <v>200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5B292C-6AF7-4B1D-92FC-B606A9246375}">
  <dimension ref="A3:B34"/>
  <sheetViews>
    <sheetView workbookViewId="0">
      <selection activeCell="L26" sqref="L26"/>
    </sheetView>
  </sheetViews>
  <sheetFormatPr defaultRowHeight="14.4"/>
  <cols>
    <col min="1" max="1" width="15.6640625" bestFit="1" customWidth="1"/>
    <col min="2" max="2" width="23" bestFit="1" customWidth="1"/>
  </cols>
  <sheetData>
    <row r="3" spans="1:2">
      <c r="A3" s="3" t="s">
        <v>297</v>
      </c>
      <c r="B3" t="s">
        <v>302</v>
      </c>
    </row>
    <row r="4" spans="1:2">
      <c r="A4" s="4" t="s">
        <v>136</v>
      </c>
      <c r="B4" s="2">
        <v>5</v>
      </c>
    </row>
    <row r="5" spans="1:2">
      <c r="A5" s="4" t="s">
        <v>115</v>
      </c>
      <c r="B5" s="2">
        <v>7</v>
      </c>
    </row>
    <row r="6" spans="1:2">
      <c r="A6" s="4" t="s">
        <v>91</v>
      </c>
      <c r="B6" s="2">
        <v>5</v>
      </c>
    </row>
    <row r="7" spans="1:2">
      <c r="A7" s="4" t="s">
        <v>100</v>
      </c>
      <c r="B7" s="2">
        <v>5</v>
      </c>
    </row>
    <row r="8" spans="1:2">
      <c r="A8" s="4" t="s">
        <v>113</v>
      </c>
      <c r="B8" s="2">
        <v>7</v>
      </c>
    </row>
    <row r="9" spans="1:2">
      <c r="A9" s="4" t="s">
        <v>87</v>
      </c>
      <c r="B9" s="2">
        <v>13</v>
      </c>
    </row>
    <row r="10" spans="1:2">
      <c r="A10" s="4" t="s">
        <v>26</v>
      </c>
      <c r="B10" s="2">
        <v>6</v>
      </c>
    </row>
    <row r="11" spans="1:2">
      <c r="A11" s="4" t="s">
        <v>117</v>
      </c>
      <c r="B11" s="2">
        <v>8</v>
      </c>
    </row>
    <row r="12" spans="1:2">
      <c r="A12" s="4" t="s">
        <v>80</v>
      </c>
      <c r="B12" s="2">
        <v>3</v>
      </c>
    </row>
    <row r="13" spans="1:2">
      <c r="A13" s="4" t="s">
        <v>158</v>
      </c>
      <c r="B13" s="2">
        <v>8</v>
      </c>
    </row>
    <row r="14" spans="1:2">
      <c r="A14" s="4" t="s">
        <v>67</v>
      </c>
      <c r="B14" s="2">
        <v>3</v>
      </c>
    </row>
    <row r="15" spans="1:2">
      <c r="A15" s="4" t="s">
        <v>93</v>
      </c>
      <c r="B15" s="2">
        <v>8</v>
      </c>
    </row>
    <row r="16" spans="1:2">
      <c r="A16" s="4" t="s">
        <v>83</v>
      </c>
      <c r="B16" s="2">
        <v>7</v>
      </c>
    </row>
    <row r="17" spans="1:2">
      <c r="A17" s="4" t="s">
        <v>133</v>
      </c>
      <c r="B17" s="2">
        <v>4</v>
      </c>
    </row>
    <row r="18" spans="1:2">
      <c r="A18" s="4" t="s">
        <v>17</v>
      </c>
      <c r="B18" s="2">
        <v>6</v>
      </c>
    </row>
    <row r="19" spans="1:2">
      <c r="A19" s="4" t="s">
        <v>70</v>
      </c>
      <c r="B19" s="2">
        <v>5</v>
      </c>
    </row>
    <row r="20" spans="1:2">
      <c r="A20" s="4" t="s">
        <v>97</v>
      </c>
      <c r="B20" s="2">
        <v>5</v>
      </c>
    </row>
    <row r="21" spans="1:2">
      <c r="A21" s="4" t="s">
        <v>74</v>
      </c>
      <c r="B21" s="2">
        <v>11</v>
      </c>
    </row>
    <row r="22" spans="1:2">
      <c r="A22" s="4" t="s">
        <v>63</v>
      </c>
      <c r="B22" s="2">
        <v>5</v>
      </c>
    </row>
    <row r="23" spans="1:2">
      <c r="A23" s="4" t="s">
        <v>47</v>
      </c>
      <c r="B23" s="2">
        <v>13</v>
      </c>
    </row>
    <row r="24" spans="1:2">
      <c r="A24" s="4" t="s">
        <v>143</v>
      </c>
      <c r="B24" s="2">
        <v>7</v>
      </c>
    </row>
    <row r="25" spans="1:2">
      <c r="A25" s="4" t="s">
        <v>196</v>
      </c>
      <c r="B25" s="2">
        <v>2</v>
      </c>
    </row>
    <row r="26" spans="1:2">
      <c r="A26" s="4" t="s">
        <v>58</v>
      </c>
      <c r="B26" s="2">
        <v>7</v>
      </c>
    </row>
    <row r="27" spans="1:2">
      <c r="A27" s="4" t="s">
        <v>53</v>
      </c>
      <c r="B27" s="2">
        <v>10</v>
      </c>
    </row>
    <row r="28" spans="1:2">
      <c r="A28" s="4" t="s">
        <v>34</v>
      </c>
      <c r="B28" s="2">
        <v>5</v>
      </c>
    </row>
    <row r="29" spans="1:2">
      <c r="A29" s="4" t="s">
        <v>41</v>
      </c>
      <c r="B29" s="2">
        <v>9</v>
      </c>
    </row>
    <row r="30" spans="1:2">
      <c r="A30" s="4" t="s">
        <v>111</v>
      </c>
      <c r="B30" s="2">
        <v>6</v>
      </c>
    </row>
    <row r="31" spans="1:2">
      <c r="A31" s="4" t="s">
        <v>152</v>
      </c>
      <c r="B31" s="2">
        <v>10</v>
      </c>
    </row>
    <row r="32" spans="1:2">
      <c r="A32" s="4" t="s">
        <v>201</v>
      </c>
      <c r="B32" s="2">
        <v>5</v>
      </c>
    </row>
    <row r="33" spans="1:2">
      <c r="A33" s="4" t="s">
        <v>129</v>
      </c>
      <c r="B33" s="2">
        <v>5</v>
      </c>
    </row>
    <row r="34" spans="1:2">
      <c r="A34" s="4" t="s">
        <v>298</v>
      </c>
      <c r="B34" s="2">
        <v>200</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Dashboard</vt:lpstr>
      <vt:lpstr>KPI</vt:lpstr>
      <vt:lpstr>Dataset</vt:lpstr>
      <vt:lpstr>Monthly AI job Postings</vt:lpstr>
      <vt:lpstr>Job Share By employment type</vt:lpstr>
      <vt:lpstr>Avg salary by Role</vt:lpstr>
      <vt:lpstr>Top hiring sectors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harshal bhoir</dc:creator>
  <cp:lastModifiedBy>harshal bhoir</cp:lastModifiedBy>
  <dcterms:created xsi:type="dcterms:W3CDTF">2026-06-23T10:20:14Z</dcterms:created>
  <dcterms:modified xsi:type="dcterms:W3CDTF">2026-09-08T10:07:39Z</dcterms:modified>
</cp:coreProperties>
</file>